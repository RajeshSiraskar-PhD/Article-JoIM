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jeshsiraskar/PhD/Articles/Article-JoIM/figures/"/>
    </mc:Choice>
  </mc:AlternateContent>
  <xr:revisionPtr revIDLastSave="0" documentId="13_ncr:1_{5DD603A0-C386-F94C-8170-EAB68BA5E0D8}" xr6:coauthVersionLast="47" xr6:coauthVersionMax="47" xr10:uidLastSave="{00000000-0000-0000-0000-000000000000}"/>
  <bookViews>
    <workbookView xWindow="0" yWindow="600" windowWidth="38400" windowHeight="19200" xr2:uid="{3DCDA199-470E-8B40-A763-88A9D348B44A}"/>
  </bookViews>
  <sheets>
    <sheet name="SUMMARY" sheetId="8" r:id="rId1"/>
    <sheet name="SIT_MODELS" sheetId="3" r:id="rId2"/>
    <sheet name="IEEE Models" sheetId="4" r:id="rId3"/>
    <sheet name="SIT_1" sheetId="1" r:id="rId4"/>
    <sheet name="ANALYSIS_size" sheetId="2" r:id="rId5"/>
    <sheet name="LatexTables" sheetId="7" r:id="rId6"/>
    <sheet name="Sheet5" sheetId="6" r:id="rId7"/>
    <sheet name="Sheet4" sheetId="5" r:id="rId8"/>
  </sheets>
  <definedNames>
    <definedName name="_xlnm._FilterDatabase" localSheetId="2" hidden="1">'IEEE Models'!$A$1:$I$81</definedName>
    <definedName name="_xlnm._FilterDatabase" localSheetId="3" hidden="1">SIT_1!$A$1:$M$129</definedName>
    <definedName name="_xlnm._FilterDatabase" localSheetId="1" hidden="1">SIT_MODELS!$A$1:$H$129</definedName>
  </definedNames>
  <calcPr calcId="191029"/>
  <pivotCaches>
    <pivotCache cacheId="2" r:id="rId9"/>
    <pivotCache cacheId="3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8" l="1"/>
  <c r="H22" i="8"/>
  <c r="G22" i="8"/>
  <c r="E22" i="8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2" i="3"/>
  <c r="G10" i="8"/>
  <c r="D10" i="8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2" i="4"/>
  <c r="I4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46" i="7"/>
  <c r="I45" i="7"/>
  <c r="I44" i="7"/>
  <c r="I43" i="7"/>
  <c r="I42" i="7"/>
  <c r="I41" i="7"/>
  <c r="I40" i="7"/>
  <c r="I39" i="7"/>
  <c r="I38" i="7"/>
  <c r="I37" i="7"/>
  <c r="I36" i="7"/>
  <c r="I35" i="7"/>
  <c r="I34" i="7"/>
  <c r="I33" i="7"/>
  <c r="I32" i="7"/>
  <c r="I31" i="7"/>
  <c r="I30" i="7"/>
  <c r="I29" i="7"/>
  <c r="I28" i="7"/>
  <c r="I27" i="7"/>
  <c r="I26" i="7"/>
  <c r="I3" i="7"/>
  <c r="F28" i="7"/>
  <c r="G28" i="7"/>
  <c r="H28" i="7"/>
  <c r="F29" i="7"/>
  <c r="G29" i="7"/>
  <c r="H29" i="7"/>
  <c r="F30" i="7"/>
  <c r="G30" i="7"/>
  <c r="H30" i="7"/>
  <c r="F31" i="7"/>
  <c r="G31" i="7"/>
  <c r="H31" i="7"/>
  <c r="F32" i="7"/>
  <c r="G32" i="7"/>
  <c r="H32" i="7"/>
  <c r="F33" i="7"/>
  <c r="G33" i="7"/>
  <c r="H33" i="7"/>
  <c r="F34" i="7"/>
  <c r="G34" i="7"/>
  <c r="H34" i="7"/>
  <c r="F35" i="7"/>
  <c r="G35" i="7"/>
  <c r="H35" i="7"/>
  <c r="F36" i="7"/>
  <c r="G36" i="7"/>
  <c r="H36" i="7"/>
  <c r="F37" i="7"/>
  <c r="G37" i="7"/>
  <c r="H37" i="7"/>
  <c r="F38" i="7"/>
  <c r="G38" i="7"/>
  <c r="H38" i="7"/>
  <c r="F39" i="7"/>
  <c r="G39" i="7"/>
  <c r="H39" i="7"/>
  <c r="F40" i="7"/>
  <c r="G40" i="7"/>
  <c r="H40" i="7"/>
  <c r="F41" i="7"/>
  <c r="G41" i="7"/>
  <c r="H41" i="7"/>
  <c r="F42" i="7"/>
  <c r="G42" i="7"/>
  <c r="H42" i="7"/>
  <c r="F43" i="7"/>
  <c r="G43" i="7"/>
  <c r="H43" i="7"/>
  <c r="F44" i="7"/>
  <c r="G44" i="7"/>
  <c r="H44" i="7"/>
  <c r="F45" i="7"/>
  <c r="G45" i="7"/>
  <c r="H45" i="7"/>
  <c r="F46" i="7"/>
  <c r="G46" i="7"/>
  <c r="H46" i="7"/>
  <c r="H27" i="7"/>
  <c r="G27" i="7"/>
  <c r="F27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4" i="7"/>
  <c r="F5" i="7"/>
  <c r="G5" i="7"/>
  <c r="F6" i="7"/>
  <c r="G6" i="7"/>
  <c r="F7" i="7"/>
  <c r="G7" i="7"/>
  <c r="F8" i="7"/>
  <c r="G8" i="7"/>
  <c r="F9" i="7"/>
  <c r="G9" i="7"/>
  <c r="F10" i="7"/>
  <c r="G10" i="7"/>
  <c r="F11" i="7"/>
  <c r="G11" i="7"/>
  <c r="F12" i="7"/>
  <c r="G12" i="7"/>
  <c r="F13" i="7"/>
  <c r="G13" i="7"/>
  <c r="F14" i="7"/>
  <c r="G14" i="7"/>
  <c r="F15" i="7"/>
  <c r="G15" i="7"/>
  <c r="F16" i="7"/>
  <c r="G16" i="7"/>
  <c r="F17" i="7"/>
  <c r="G17" i="7"/>
  <c r="F18" i="7"/>
  <c r="G18" i="7"/>
  <c r="F19" i="7"/>
  <c r="G19" i="7"/>
  <c r="F20" i="7"/>
  <c r="G20" i="7"/>
  <c r="F21" i="7"/>
  <c r="G21" i="7"/>
  <c r="F22" i="7"/>
  <c r="G22" i="7"/>
  <c r="F23" i="7"/>
  <c r="G23" i="7"/>
  <c r="G4" i="7"/>
  <c r="F4" i="7"/>
  <c r="G3" i="4"/>
  <c r="H3" i="4" s="1"/>
  <c r="G4" i="4"/>
  <c r="H4" i="4" s="1"/>
  <c r="G5" i="4"/>
  <c r="H5" i="4" s="1"/>
  <c r="G6" i="4"/>
  <c r="H6" i="4" s="1"/>
  <c r="G7" i="4"/>
  <c r="H7" i="4" s="1"/>
  <c r="G8" i="4"/>
  <c r="H8" i="4" s="1"/>
  <c r="G9" i="4"/>
  <c r="H9" i="4" s="1"/>
  <c r="G10" i="4"/>
  <c r="H10" i="4" s="1"/>
  <c r="G11" i="4"/>
  <c r="H11" i="4" s="1"/>
  <c r="G12" i="4"/>
  <c r="H12" i="4" s="1"/>
  <c r="G13" i="4"/>
  <c r="H13" i="4" s="1"/>
  <c r="G14" i="4"/>
  <c r="H14" i="4" s="1"/>
  <c r="G15" i="4"/>
  <c r="H15" i="4"/>
  <c r="G16" i="4"/>
  <c r="H16" i="4"/>
  <c r="G17" i="4"/>
  <c r="H17" i="4" s="1"/>
  <c r="G18" i="4"/>
  <c r="H18" i="4" s="1"/>
  <c r="G19" i="4"/>
  <c r="H19" i="4" s="1"/>
  <c r="G20" i="4"/>
  <c r="H20" i="4"/>
  <c r="G21" i="4"/>
  <c r="H21" i="4"/>
  <c r="G22" i="4"/>
  <c r="H22" i="4"/>
  <c r="G23" i="4"/>
  <c r="H23" i="4" s="1"/>
  <c r="G24" i="4"/>
  <c r="H24" i="4" s="1"/>
  <c r="G25" i="4"/>
  <c r="H25" i="4" s="1"/>
  <c r="G26" i="4"/>
  <c r="H26" i="4"/>
  <c r="G27" i="4"/>
  <c r="H27" i="4"/>
  <c r="G28" i="4"/>
  <c r="H28" i="4" s="1"/>
  <c r="G29" i="4"/>
  <c r="H29" i="4" s="1"/>
  <c r="G30" i="4"/>
  <c r="H30" i="4"/>
  <c r="G31" i="4"/>
  <c r="H31" i="4" s="1"/>
  <c r="G32" i="4"/>
  <c r="H32" i="4" s="1"/>
  <c r="G33" i="4"/>
  <c r="H33" i="4" s="1"/>
  <c r="G34" i="4"/>
  <c r="H34" i="4" s="1"/>
  <c r="G35" i="4"/>
  <c r="H35" i="4"/>
  <c r="G36" i="4"/>
  <c r="H36" i="4"/>
  <c r="G37" i="4"/>
  <c r="H37" i="4" s="1"/>
  <c r="G38" i="4"/>
  <c r="H38" i="4" s="1"/>
  <c r="G39" i="4"/>
  <c r="H39" i="4" s="1"/>
  <c r="G40" i="4"/>
  <c r="H40" i="4"/>
  <c r="G41" i="4"/>
  <c r="H41" i="4"/>
  <c r="G42" i="4"/>
  <c r="H42" i="4"/>
  <c r="G43" i="4"/>
  <c r="H43" i="4" s="1"/>
  <c r="G44" i="4"/>
  <c r="H44" i="4" s="1"/>
  <c r="G45" i="4"/>
  <c r="H45" i="4" s="1"/>
  <c r="G46" i="4"/>
  <c r="H46" i="4"/>
  <c r="G47" i="4"/>
  <c r="H47" i="4"/>
  <c r="G48" i="4"/>
  <c r="H48" i="4" s="1"/>
  <c r="G49" i="4"/>
  <c r="H49" i="4" s="1"/>
  <c r="G50" i="4"/>
  <c r="H50" i="4" s="1"/>
  <c r="G51" i="4"/>
  <c r="H51" i="4" s="1"/>
  <c r="G52" i="4"/>
  <c r="H52" i="4"/>
  <c r="G53" i="4"/>
  <c r="H53" i="4" s="1"/>
  <c r="G54" i="4"/>
  <c r="H54" i="4" s="1"/>
  <c r="G55" i="4"/>
  <c r="H55" i="4"/>
  <c r="G56" i="4"/>
  <c r="H56" i="4" s="1"/>
  <c r="G57" i="4"/>
  <c r="H57" i="4"/>
  <c r="G58" i="4"/>
  <c r="H58" i="4" s="1"/>
  <c r="G59" i="4"/>
  <c r="H59" i="4" s="1"/>
  <c r="G60" i="4"/>
  <c r="H60" i="4"/>
  <c r="G61" i="4"/>
  <c r="H61" i="4"/>
  <c r="G62" i="4"/>
  <c r="H62" i="4" s="1"/>
  <c r="G63" i="4"/>
  <c r="H63" i="4" s="1"/>
  <c r="G64" i="4"/>
  <c r="H64" i="4" s="1"/>
  <c r="G65" i="4"/>
  <c r="H65" i="4" s="1"/>
  <c r="G66" i="4"/>
  <c r="H66" i="4" s="1"/>
  <c r="G67" i="4"/>
  <c r="H67" i="4"/>
  <c r="G68" i="4"/>
  <c r="H68" i="4" s="1"/>
  <c r="G69" i="4"/>
  <c r="H69" i="4" s="1"/>
  <c r="G70" i="4"/>
  <c r="H70" i="4"/>
  <c r="G71" i="4"/>
  <c r="H71" i="4" s="1"/>
  <c r="G72" i="4"/>
  <c r="H72" i="4"/>
  <c r="G73" i="4"/>
  <c r="H73" i="4" s="1"/>
  <c r="G74" i="4"/>
  <c r="H74" i="4" s="1"/>
  <c r="G75" i="4"/>
  <c r="H75" i="4" s="1"/>
  <c r="G76" i="4"/>
  <c r="H76" i="4"/>
  <c r="G77" i="4"/>
  <c r="H77" i="4"/>
  <c r="G78" i="4"/>
  <c r="H78" i="4" s="1"/>
  <c r="G79" i="4"/>
  <c r="H79" i="4" s="1"/>
  <c r="G80" i="4"/>
  <c r="H80" i="4" s="1"/>
  <c r="G81" i="4"/>
  <c r="H81" i="4" s="1"/>
  <c r="G2" i="4"/>
  <c r="H2" i="4" s="1"/>
  <c r="H73" i="3"/>
  <c r="G3" i="3"/>
  <c r="H3" i="3" s="1"/>
  <c r="G4" i="3"/>
  <c r="H4" i="3" s="1"/>
  <c r="G5" i="3"/>
  <c r="H5" i="3" s="1"/>
  <c r="G6" i="3"/>
  <c r="H6" i="3" s="1"/>
  <c r="G7" i="3"/>
  <c r="H7" i="3" s="1"/>
  <c r="G8" i="3"/>
  <c r="H8" i="3" s="1"/>
  <c r="G9" i="3"/>
  <c r="H9" i="3" s="1"/>
  <c r="G10" i="3"/>
  <c r="H10" i="3" s="1"/>
  <c r="G11" i="3"/>
  <c r="H11" i="3" s="1"/>
  <c r="G12" i="3"/>
  <c r="H12" i="3" s="1"/>
  <c r="G13" i="3"/>
  <c r="H13" i="3" s="1"/>
  <c r="G14" i="3"/>
  <c r="H14" i="3" s="1"/>
  <c r="G15" i="3"/>
  <c r="H15" i="3" s="1"/>
  <c r="G16" i="3"/>
  <c r="H16" i="3" s="1"/>
  <c r="G17" i="3"/>
  <c r="H17" i="3" s="1"/>
  <c r="G18" i="3"/>
  <c r="H18" i="3" s="1"/>
  <c r="G19" i="3"/>
  <c r="H19" i="3" s="1"/>
  <c r="G20" i="3"/>
  <c r="H20" i="3" s="1"/>
  <c r="G21" i="3"/>
  <c r="H21" i="3" s="1"/>
  <c r="G22" i="3"/>
  <c r="H22" i="3" s="1"/>
  <c r="G23" i="3"/>
  <c r="H23" i="3" s="1"/>
  <c r="G24" i="3"/>
  <c r="H24" i="3" s="1"/>
  <c r="G25" i="3"/>
  <c r="H25" i="3" s="1"/>
  <c r="G26" i="3"/>
  <c r="H26" i="3" s="1"/>
  <c r="G27" i="3"/>
  <c r="H27" i="3" s="1"/>
  <c r="G28" i="3"/>
  <c r="H28" i="3" s="1"/>
  <c r="G29" i="3"/>
  <c r="H29" i="3" s="1"/>
  <c r="G30" i="3"/>
  <c r="H30" i="3" s="1"/>
  <c r="G31" i="3"/>
  <c r="H31" i="3" s="1"/>
  <c r="G32" i="3"/>
  <c r="H32" i="3" s="1"/>
  <c r="G33" i="3"/>
  <c r="H33" i="3" s="1"/>
  <c r="G34" i="3"/>
  <c r="H34" i="3" s="1"/>
  <c r="G35" i="3"/>
  <c r="H35" i="3" s="1"/>
  <c r="G36" i="3"/>
  <c r="H36" i="3" s="1"/>
  <c r="G37" i="3"/>
  <c r="H37" i="3" s="1"/>
  <c r="G38" i="3"/>
  <c r="H38" i="3" s="1"/>
  <c r="G39" i="3"/>
  <c r="H39" i="3" s="1"/>
  <c r="G40" i="3"/>
  <c r="H40" i="3" s="1"/>
  <c r="G41" i="3"/>
  <c r="H41" i="3" s="1"/>
  <c r="G42" i="3"/>
  <c r="H42" i="3" s="1"/>
  <c r="G43" i="3"/>
  <c r="H43" i="3" s="1"/>
  <c r="G44" i="3"/>
  <c r="H44" i="3" s="1"/>
  <c r="G45" i="3"/>
  <c r="H45" i="3" s="1"/>
  <c r="G46" i="3"/>
  <c r="H46" i="3" s="1"/>
  <c r="G47" i="3"/>
  <c r="H47" i="3" s="1"/>
  <c r="G48" i="3"/>
  <c r="H48" i="3" s="1"/>
  <c r="G49" i="3"/>
  <c r="H49" i="3" s="1"/>
  <c r="G50" i="3"/>
  <c r="H50" i="3" s="1"/>
  <c r="G51" i="3"/>
  <c r="H51" i="3" s="1"/>
  <c r="G52" i="3"/>
  <c r="H52" i="3" s="1"/>
  <c r="G53" i="3"/>
  <c r="H53" i="3" s="1"/>
  <c r="G54" i="3"/>
  <c r="H54" i="3" s="1"/>
  <c r="G55" i="3"/>
  <c r="H55" i="3" s="1"/>
  <c r="G56" i="3"/>
  <c r="H56" i="3" s="1"/>
  <c r="G57" i="3"/>
  <c r="H57" i="3" s="1"/>
  <c r="G58" i="3"/>
  <c r="H58" i="3" s="1"/>
  <c r="G59" i="3"/>
  <c r="H59" i="3" s="1"/>
  <c r="G60" i="3"/>
  <c r="H60" i="3" s="1"/>
  <c r="G61" i="3"/>
  <c r="H61" i="3" s="1"/>
  <c r="G62" i="3"/>
  <c r="H62" i="3" s="1"/>
  <c r="G63" i="3"/>
  <c r="H63" i="3" s="1"/>
  <c r="G64" i="3"/>
  <c r="H64" i="3" s="1"/>
  <c r="G65" i="3"/>
  <c r="H65" i="3" s="1"/>
  <c r="G66" i="3"/>
  <c r="H66" i="3" s="1"/>
  <c r="G67" i="3"/>
  <c r="H67" i="3" s="1"/>
  <c r="G68" i="3"/>
  <c r="H68" i="3" s="1"/>
  <c r="G69" i="3"/>
  <c r="H69" i="3" s="1"/>
  <c r="G70" i="3"/>
  <c r="H70" i="3" s="1"/>
  <c r="G71" i="3"/>
  <c r="H71" i="3" s="1"/>
  <c r="G72" i="3"/>
  <c r="H72" i="3" s="1"/>
  <c r="G73" i="3"/>
  <c r="G74" i="3"/>
  <c r="H74" i="3" s="1"/>
  <c r="G75" i="3"/>
  <c r="H75" i="3" s="1"/>
  <c r="G76" i="3"/>
  <c r="H76" i="3" s="1"/>
  <c r="G77" i="3"/>
  <c r="H77" i="3" s="1"/>
  <c r="G78" i="3"/>
  <c r="H78" i="3" s="1"/>
  <c r="G79" i="3"/>
  <c r="H79" i="3" s="1"/>
  <c r="G80" i="3"/>
  <c r="H80" i="3" s="1"/>
  <c r="G81" i="3"/>
  <c r="H81" i="3" s="1"/>
  <c r="G82" i="3"/>
  <c r="H82" i="3" s="1"/>
  <c r="G83" i="3"/>
  <c r="H83" i="3" s="1"/>
  <c r="G84" i="3"/>
  <c r="H84" i="3" s="1"/>
  <c r="G85" i="3"/>
  <c r="H85" i="3" s="1"/>
  <c r="G86" i="3"/>
  <c r="H86" i="3" s="1"/>
  <c r="G87" i="3"/>
  <c r="H87" i="3" s="1"/>
  <c r="G88" i="3"/>
  <c r="H88" i="3" s="1"/>
  <c r="G89" i="3"/>
  <c r="H89" i="3" s="1"/>
  <c r="G90" i="3"/>
  <c r="H90" i="3" s="1"/>
  <c r="G91" i="3"/>
  <c r="H91" i="3" s="1"/>
  <c r="G92" i="3"/>
  <c r="H92" i="3" s="1"/>
  <c r="G93" i="3"/>
  <c r="H93" i="3" s="1"/>
  <c r="G94" i="3"/>
  <c r="H94" i="3" s="1"/>
  <c r="G95" i="3"/>
  <c r="H95" i="3" s="1"/>
  <c r="G96" i="3"/>
  <c r="H96" i="3" s="1"/>
  <c r="G97" i="3"/>
  <c r="H97" i="3" s="1"/>
  <c r="G98" i="3"/>
  <c r="H98" i="3" s="1"/>
  <c r="G99" i="3"/>
  <c r="H99" i="3" s="1"/>
  <c r="G100" i="3"/>
  <c r="H100" i="3" s="1"/>
  <c r="G101" i="3"/>
  <c r="H101" i="3" s="1"/>
  <c r="G102" i="3"/>
  <c r="H102" i="3" s="1"/>
  <c r="G103" i="3"/>
  <c r="H103" i="3" s="1"/>
  <c r="G104" i="3"/>
  <c r="H104" i="3" s="1"/>
  <c r="G105" i="3"/>
  <c r="H105" i="3" s="1"/>
  <c r="G106" i="3"/>
  <c r="H106" i="3" s="1"/>
  <c r="G107" i="3"/>
  <c r="H107" i="3" s="1"/>
  <c r="G108" i="3"/>
  <c r="H108" i="3" s="1"/>
  <c r="G109" i="3"/>
  <c r="H109" i="3" s="1"/>
  <c r="G110" i="3"/>
  <c r="H110" i="3" s="1"/>
  <c r="G111" i="3"/>
  <c r="H111" i="3" s="1"/>
  <c r="G112" i="3"/>
  <c r="H112" i="3" s="1"/>
  <c r="G113" i="3"/>
  <c r="H113" i="3" s="1"/>
  <c r="G114" i="3"/>
  <c r="H114" i="3" s="1"/>
  <c r="G115" i="3"/>
  <c r="H115" i="3" s="1"/>
  <c r="G116" i="3"/>
  <c r="H116" i="3" s="1"/>
  <c r="G117" i="3"/>
  <c r="H117" i="3" s="1"/>
  <c r="G118" i="3"/>
  <c r="H118" i="3" s="1"/>
  <c r="G119" i="3"/>
  <c r="H119" i="3" s="1"/>
  <c r="G120" i="3"/>
  <c r="H120" i="3" s="1"/>
  <c r="G121" i="3"/>
  <c r="H121" i="3" s="1"/>
  <c r="G122" i="3"/>
  <c r="H122" i="3" s="1"/>
  <c r="G123" i="3"/>
  <c r="H123" i="3" s="1"/>
  <c r="G124" i="3"/>
  <c r="H124" i="3" s="1"/>
  <c r="G125" i="3"/>
  <c r="H125" i="3" s="1"/>
  <c r="G126" i="3"/>
  <c r="H126" i="3" s="1"/>
  <c r="G127" i="3"/>
  <c r="H127" i="3" s="1"/>
  <c r="G128" i="3"/>
  <c r="H128" i="3" s="1"/>
  <c r="G129" i="3"/>
  <c r="H129" i="3" s="1"/>
  <c r="G2" i="3"/>
  <c r="H2" i="3" s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2" i="1"/>
</calcChain>
</file>

<file path=xl/sharedStrings.xml><?xml version="1.0" encoding="utf-8"?>
<sst xmlns="http://schemas.openxmlformats.org/spreadsheetml/2006/main" count="2014" uniqueCount="405">
  <si>
    <t>A2C_MH_SIT_15_500_1e-04_99_05-03-14-53.zip</t>
  </si>
  <si>
    <t>A2C_MH_SIT_17_500_1e-04_99_05-03-14-53.zip</t>
  </si>
  <si>
    <t>A2C_MH_SIT_19_500_1e-04_99_05-03-14-53.zip</t>
  </si>
  <si>
    <t>A2C_MH_SIT_19_500_1e-04_99_12-03-08-48.zip</t>
  </si>
  <si>
    <t>A2C_MH_SIT_20_500_1e-04_99_12-03-08-48.zip</t>
  </si>
  <si>
    <t>A2C_MH_SIT_7_500_1e-04_99_12-03-08-48.zip</t>
  </si>
  <si>
    <t>A2C_MH_SIT_8_500_1e-04_99_12-03-08-48.zip</t>
  </si>
  <si>
    <t>A2C_MH_SIT_9_500_1e-04_99_12-03-08-48.zip</t>
  </si>
  <si>
    <t>A2C_NW_SIT_15_500_1e-04_99_05-03-14-53.zip</t>
  </si>
  <si>
    <t>A2C_NW_SIT_17_500_1e-04_99_05-03-14-53.zip</t>
  </si>
  <si>
    <t>A2C_NW_SIT_19_500_1e-04_99_05-03-14-53.zip</t>
  </si>
  <si>
    <t>A2C_NW_SIT_19_500_1e-04_99_12-03-08-48.zip</t>
  </si>
  <si>
    <t>A2C_NW_SIT_20_500_1e-04_99_12-03-08-48.zip</t>
  </si>
  <si>
    <t>A2C_NW_SIT_7_500_1e-04_99_12-03-08-48.zip</t>
  </si>
  <si>
    <t>A2C_NW_SIT_8_500_1e-04_99_12-03-08-48.zip</t>
  </si>
  <si>
    <t>A2C_NW_SIT_9_500_1e-04_99_12-03-08-48.zip</t>
  </si>
  <si>
    <t>A2C_SA_SIT_15_500_1e-04_99_05-03-14-53.zip</t>
  </si>
  <si>
    <t>A2C_SA_SIT_17_500_1e-04_99_05-03-14-53.zip</t>
  </si>
  <si>
    <t>A2C_SA_SIT_19_500_1e-04_99_05-03-14-53.zip</t>
  </si>
  <si>
    <t>A2C_SA_SIT_19_500_1e-04_99_12-03-08-48.zip</t>
  </si>
  <si>
    <t>A2C_SA_SIT_20_500_1e-04_99_12-03-08-48.zip</t>
  </si>
  <si>
    <t>A2C_SA_SIT_7_500_1e-04_99_12-03-08-48.zip</t>
  </si>
  <si>
    <t>A2C_SA_SIT_8_500_1e-04_99_12-03-08-48.zip</t>
  </si>
  <si>
    <t>A2C_SA_SIT_9_500_1e-04_99_12-03-08-48.zip</t>
  </si>
  <si>
    <t>A2C_TP_SIT_15_500_1e-04_99_05-03-14-53.zip</t>
  </si>
  <si>
    <t>A2C_TP_SIT_17_500_1e-04_99_05-03-14-53.zip</t>
  </si>
  <si>
    <t>A2C_TP_SIT_19_500_1e-04_99_05-03-14-53.zip</t>
  </si>
  <si>
    <t>A2C_TP_SIT_19_500_1e-04_99_12-03-08-48.zip</t>
  </si>
  <si>
    <t>A2C_TP_SIT_20_500_1e-04_99_12-03-08-48.zip</t>
  </si>
  <si>
    <t>A2C_TP_SIT_7_500_1e-04_99_12-03-08-48.zip</t>
  </si>
  <si>
    <t>A2C_TP_SIT_8_500_1e-04_99_12-03-08-48.zip</t>
  </si>
  <si>
    <t>A2C_TP_SIT_9_500_1e-04_99_12-03-08-48.zip</t>
  </si>
  <si>
    <t>DQN_MH_SIT_15_500_1e-04_99_05-03-14-53.zip</t>
  </si>
  <si>
    <t>DQN_MH_SIT_17_500_1e-04_99_05-03-14-53.zip</t>
  </si>
  <si>
    <t>DQN_MH_SIT_19_500_1e-04_99_05-03-14-53.zip</t>
  </si>
  <si>
    <t>DQN_MH_SIT_19_500_1e-04_99_12-03-08-48.zip</t>
  </si>
  <si>
    <t>DQN_MH_SIT_20_500_1e-04_99_12-03-08-48.zip</t>
  </si>
  <si>
    <t>DQN_MH_SIT_7_500_1e-04_99_12-03-08-48.zip</t>
  </si>
  <si>
    <t>DQN_MH_SIT_8_500_1e-04_99_12-03-08-48.zip</t>
  </si>
  <si>
    <t>DQN_MH_SIT_9_500_1e-04_99_12-03-08-48.zip</t>
  </si>
  <si>
    <t>DQN_NW_SIT_15_500_1e-04_99_05-03-14-53.zip</t>
  </si>
  <si>
    <t>DQN_NW_SIT_17_500_1e-04_99_05-03-14-53.zip</t>
  </si>
  <si>
    <t>DQN_NW_SIT_19_500_1e-04_99_05-03-14-53.zip</t>
  </si>
  <si>
    <t>DQN_NW_SIT_19_500_1e-04_99_12-03-08-48.zip</t>
  </si>
  <si>
    <t>DQN_NW_SIT_20_500_1e-04_99_12-03-08-48.zip</t>
  </si>
  <si>
    <t>DQN_NW_SIT_7_500_1e-04_99_12-03-08-48.zip</t>
  </si>
  <si>
    <t>DQN_NW_SIT_8_500_1e-04_99_12-03-08-48.zip</t>
  </si>
  <si>
    <t>DQN_NW_SIT_9_500_1e-04_99_12-03-08-48.zip</t>
  </si>
  <si>
    <t>DQN_SA_SIT_15_500_1e-04_99_05-03-14-53.zip</t>
  </si>
  <si>
    <t>DQN_SA_SIT_17_500_1e-04_99_05-03-14-53.zip</t>
  </si>
  <si>
    <t>DQN_SA_SIT_19_500_1e-04_99_05-03-14-53.zip</t>
  </si>
  <si>
    <t>DQN_SA_SIT_19_500_1e-04_99_12-03-08-48.zip</t>
  </si>
  <si>
    <t>DQN_SA_SIT_20_500_1e-04_99_12-03-08-48.zip</t>
  </si>
  <si>
    <t>DQN_SA_SIT_7_500_1e-04_99_12-03-08-48.zip</t>
  </si>
  <si>
    <t>DQN_SA_SIT_8_500_1e-04_99_12-03-08-48.zip</t>
  </si>
  <si>
    <t>DQN_SA_SIT_9_500_1e-04_99_12-03-08-48.zip</t>
  </si>
  <si>
    <t>DQN_TP_SIT_15_500_1e-04_99_05-03-14-53.zip</t>
  </si>
  <si>
    <t>DQN_TP_SIT_17_500_1e-04_99_05-03-14-53.zip</t>
  </si>
  <si>
    <t>DQN_TP_SIT_19_500_1e-04_99_05-03-14-53.zip</t>
  </si>
  <si>
    <t>DQN_TP_SIT_19_500_1e-04_99_12-03-08-48.zip</t>
  </si>
  <si>
    <t>DQN_TP_SIT_20_500_1e-04_99_12-03-08-48.zip</t>
  </si>
  <si>
    <t>DQN_TP_SIT_7_500_1e-04_99_12-03-08-48.zip</t>
  </si>
  <si>
    <t>DQN_TP_SIT_8_500_1e-04_99_12-03-08-48.zip</t>
  </si>
  <si>
    <t>DQN_TP_SIT_9_500_1e-04_99_12-03-08-48.zip</t>
  </si>
  <si>
    <t>PPO_MH_SIT_15_500_1e-04_99_05-03-14-53.zip</t>
  </si>
  <si>
    <t>PPO_MH_SIT_17_500_1e-04_99_05-03-14-53.zip</t>
  </si>
  <si>
    <t>PPO_MH_SIT_19_500_1e-04_99_05-03-14-53.zip</t>
  </si>
  <si>
    <t>PPO_MH_SIT_19_500_1e-04_99_12-03-08-48.zip</t>
  </si>
  <si>
    <t>PPO_MH_SIT_20_500_1e-04_99_12-03-08-48.zip</t>
  </si>
  <si>
    <t>PPO_MH_SIT_7_500_1e-04_99_12-03-08-48.zip</t>
  </si>
  <si>
    <t>PPO_MH_SIT_8_500_1e-04_99_12-03-08-48.zip</t>
  </si>
  <si>
    <t>PPO_MH_SIT_9_500_1e-04_99_12-03-08-48.zip</t>
  </si>
  <si>
    <t>PPO_NW_SIT_15_500_1e-04_99_05-03-14-53.zip</t>
  </si>
  <si>
    <t>PPO_NW_SIT_17_500_1e-04_99_05-03-14-53.zip</t>
  </si>
  <si>
    <t>PPO_NW_SIT_19_500_1e-04_99_05-03-14-53.zip</t>
  </si>
  <si>
    <t>PPO_NW_SIT_19_500_1e-04_99_12-03-08-48.zip</t>
  </si>
  <si>
    <t>PPO_NW_SIT_20_500_1e-04_99_12-03-08-48.zip</t>
  </si>
  <si>
    <t>PPO_NW_SIT_7_500_1e-04_99_12-03-08-48.zip</t>
  </si>
  <si>
    <t>PPO_NW_SIT_8_500_1e-04_99_12-03-08-48.zip</t>
  </si>
  <si>
    <t>PPO_NW_SIT_9_500_1e-04_99_12-03-08-48.zip</t>
  </si>
  <si>
    <t>PPO_SA_SIT_15_500_1e-04_99_05-03-14-53.zip</t>
  </si>
  <si>
    <t>PPO_SA_SIT_17_500_1e-04_99_05-03-14-53.zip</t>
  </si>
  <si>
    <t>PPO_SA_SIT_19_500_1e-04_99_05-03-14-53.zip</t>
  </si>
  <si>
    <t>PPO_SA_SIT_19_500_1e-04_99_12-03-08-48.zip</t>
  </si>
  <si>
    <t>PPO_SA_SIT_20_500_1e-04_99_12-03-08-48.zip</t>
  </si>
  <si>
    <t>PPO_SA_SIT_7_500_1e-04_99_12-03-08-48.zip</t>
  </si>
  <si>
    <t>PPO_SA_SIT_8_500_1e-04_99_12-03-08-48.zip</t>
  </si>
  <si>
    <t>PPO_SA_SIT_9_500_1e-04_99_12-03-08-48.zip</t>
  </si>
  <si>
    <t>PPO_TP_SIT_15_500_1e-04_99_05-03-14-53.zip</t>
  </si>
  <si>
    <t>PPO_TP_SIT_17_500_1e-04_99_05-03-14-53.zip</t>
  </si>
  <si>
    <t>PPO_TP_SIT_19_500_1e-04_99_05-03-14-53.zip</t>
  </si>
  <si>
    <t>PPO_TP_SIT_19_500_1e-04_99_12-03-08-48.zip</t>
  </si>
  <si>
    <t>PPO_TP_SIT_20_500_1e-04_99_12-03-08-48.zip</t>
  </si>
  <si>
    <t>PPO_TP_SIT_7_500_1e-04_99_12-03-08-48.zip</t>
  </si>
  <si>
    <t>PPO_TP_SIT_8_500_1e-04_99_12-03-08-48.zip</t>
  </si>
  <si>
    <t>PPO_TP_SIT_9_500_1e-04_99_12-03-08-48.zip</t>
  </si>
  <si>
    <t>REINFORCE_MH_SIT_15_500_1e-04_99_05-03-14-53.zip</t>
  </si>
  <si>
    <t>REINFORCE_MH_SIT_17_500_1e-04_99_05-03-14-53.zip</t>
  </si>
  <si>
    <t>REINFORCE_MH_SIT_19_500_1e-04_99_05-03-14-53.zip</t>
  </si>
  <si>
    <t>REINFORCE_MH_SIT_19_500_1e-04_99_12-03-10-34.zip</t>
  </si>
  <si>
    <t>REINFORCE_MH_SIT_20_500_1e-04_99_12-03-10-34.zip</t>
  </si>
  <si>
    <t>REINFORCE_MH_SIT_7_500_1e-04_99_12-03-10-34.zip</t>
  </si>
  <si>
    <t>REINFORCE_MH_SIT_8_500_1e-04_99_12-03-10-34.zip</t>
  </si>
  <si>
    <t>REINFORCE_MH_SIT_9_500_1e-04_99_12-03-10-34.zip</t>
  </si>
  <si>
    <t>REINFORCE_NW_SIT_15_500_1e-04_99_05-03-14-53.zip</t>
  </si>
  <si>
    <t>REINFORCE_NW_SIT_17_500_1e-04_99_05-03-14-53.zip</t>
  </si>
  <si>
    <t>REINFORCE_NW_SIT_19_500_1e-04_99_05-03-14-53.zip</t>
  </si>
  <si>
    <t>REINFORCE_NW_SIT_19_500_1e-04_99_12-03-08-48.zip</t>
  </si>
  <si>
    <t>REINFORCE_NW_SIT_20_500_1e-04_99_12-03-08-48.zip</t>
  </si>
  <si>
    <t>REINFORCE_NW_SIT_7_500_1e-04_99_12-03-08-48.zip</t>
  </si>
  <si>
    <t>REINFORCE_NW_SIT_8_500_1e-04_99_12-03-08-48.zip</t>
  </si>
  <si>
    <t>REINFORCE_NW_SIT_9_500_1e-04_99_12-03-08-48.zip</t>
  </si>
  <si>
    <t>REINFORCE_SA_SIT_15_500_1e-04_99_05-03-14-53.zip</t>
  </si>
  <si>
    <t>REINFORCE_SA_SIT_17_500_1e-04_99_05-03-14-53.zip</t>
  </si>
  <si>
    <t>REINFORCE_SA_SIT_19_500_1e-04_99_05-03-14-53.zip</t>
  </si>
  <si>
    <t>REINFORCE_SA_SIT_19_500_1e-04_99_12-03-08-48.zip</t>
  </si>
  <si>
    <t>REINFORCE_SA_SIT_20_500_1e-04_99_12-03-08-48.zip</t>
  </si>
  <si>
    <t>REINFORCE_SA_SIT_7_500_1e-04_99_12-03-08-48.zip</t>
  </si>
  <si>
    <t>REINFORCE_SA_SIT_8_500_1e-04_99_12-03-08-48.zip</t>
  </si>
  <si>
    <t>REINFORCE_SA_SIT_9_500_1e-04_99_12-03-08-48.zip</t>
  </si>
  <si>
    <t>REINFORCE_TP_SIT_15_500_1e-04_99_05-03-14-53.zip</t>
  </si>
  <si>
    <t>REINFORCE_TP_SIT_17_500_1e-04_99_05-03-14-53.zip</t>
  </si>
  <si>
    <t>REINFORCE_TP_SIT_19_500_1e-04_99_05-03-14-53.zip</t>
  </si>
  <si>
    <t>REINFORCE_TP_SIT_19_500_1e-04_99_12-03-10-52.zip</t>
  </si>
  <si>
    <t>REINFORCE_TP_SIT_20_500_1e-04_99_12-03-10-52.zip</t>
  </si>
  <si>
    <t>REINFORCE_TP_SIT_7_500_1e-04_99_12-03-10-52.zip</t>
  </si>
  <si>
    <t>REINFORCE_TP_SIT_8_500_1e-04_99_12-03-10-52.zip</t>
  </si>
  <si>
    <t>REINFORCE_TP_SIT_9_500_1e-04_99_12-03-10-52.zip</t>
  </si>
  <si>
    <t>file</t>
  </si>
  <si>
    <t>size</t>
  </si>
  <si>
    <t>date</t>
  </si>
  <si>
    <t>type</t>
  </si>
  <si>
    <t>Algo</t>
  </si>
  <si>
    <t>Row Labels</t>
  </si>
  <si>
    <t>A2C</t>
  </si>
  <si>
    <t>DQN</t>
  </si>
  <si>
    <t>PPO</t>
  </si>
  <si>
    <t>(blank)</t>
  </si>
  <si>
    <t>Grand Total</t>
  </si>
  <si>
    <t>MH</t>
  </si>
  <si>
    <t>SIT</t>
  </si>
  <si>
    <t>05-03-14-53.zip</t>
  </si>
  <si>
    <t>12-03-08-48.zip</t>
  </si>
  <si>
    <t>NW</t>
  </si>
  <si>
    <t>SA</t>
  </si>
  <si>
    <t>TP</t>
  </si>
  <si>
    <t>REINFORCE</t>
  </si>
  <si>
    <t>12-03-10-34.zip</t>
  </si>
  <si>
    <t>12-03-10-52.zip</t>
  </si>
  <si>
    <t>ALGO</t>
  </si>
  <si>
    <t>ATTENTION</t>
  </si>
  <si>
    <t>SCHEMA</t>
  </si>
  <si>
    <t>SIZE</t>
  </si>
  <si>
    <t>KB</t>
  </si>
  <si>
    <t>LOG_10</t>
  </si>
  <si>
    <t>A2C_MH_IEEE_01_500_1e-04_99_12-03-15-11.zip</t>
  </si>
  <si>
    <t>A2C_MH_IEEE_03_500_1e-04_99_12-03-15-11.zip</t>
  </si>
  <si>
    <t>A2C_MH_IEEE_04_500_1e-04_99_12-03-15-11.zip</t>
  </si>
  <si>
    <t>A2C_MH_IEEE_06_500_1e-04_99_12-03-15-11.zip</t>
  </si>
  <si>
    <t>A2C_MH_IEEE_08_500_1e-04_99_12-03-15-11.zip</t>
  </si>
  <si>
    <t>A2C_NW_IEEE_01_500_1e-04_99_12-03-15-11.zip</t>
  </si>
  <si>
    <t>A2C_NW_IEEE_03_500_1e-04_99_12-03-15-11.zip</t>
  </si>
  <si>
    <t>A2C_NW_IEEE_04_500_1e-04_99_12-03-15-11.zip</t>
  </si>
  <si>
    <t>A2C_NW_IEEE_06_500_1e-04_99_12-03-15-11.zip</t>
  </si>
  <si>
    <t>A2C_NW_IEEE_08_500_1e-04_99_12-03-15-11.zip</t>
  </si>
  <si>
    <t>A2C_SA_IEEE_01_500_1e-04_99_12-03-15-11.zip</t>
  </si>
  <si>
    <t>A2C_SA_IEEE_03_500_1e-04_99_12-03-15-11.zip</t>
  </si>
  <si>
    <t>A2C_SA_IEEE_04_500_1e-04_99_12-03-15-11.zip</t>
  </si>
  <si>
    <t>A2C_SA_IEEE_06_500_1e-04_99_12-03-15-11.zip</t>
  </si>
  <si>
    <t>A2C_SA_IEEE_08_500_1e-04_99_12-03-15-11.zip</t>
  </si>
  <si>
    <t>A2C_TP_IEEE_01_500_1e-04_99_12-03-15-11.zip</t>
  </si>
  <si>
    <t>A2C_TP_IEEE_03_500_1e-04_99_12-03-15-11.zip</t>
  </si>
  <si>
    <t>A2C_TP_IEEE_04_500_1e-04_99_12-03-15-11.zip</t>
  </si>
  <si>
    <t>A2C_TP_IEEE_06_500_1e-04_99_12-03-15-11.zip</t>
  </si>
  <si>
    <t>A2C_TP_IEEE_08_500_1e-04_99_12-03-15-11.zip</t>
  </si>
  <si>
    <t>DQN_MH_IEEE_01_500_1e-04_99_12-03-15-11.zip</t>
  </si>
  <si>
    <t>DQN_MH_IEEE_03_500_1e-04_99_12-03-15-11.zip</t>
  </si>
  <si>
    <t>DQN_MH_IEEE_04_500_1e-04_99_12-03-15-11.zip</t>
  </si>
  <si>
    <t>DQN_MH_IEEE_06_500_1e-04_99_12-03-15-11.zip</t>
  </si>
  <si>
    <t>DQN_MH_IEEE_08_500_1e-04_99_12-03-15-11.zip</t>
  </si>
  <si>
    <t>DQN_NW_IEEE_01_500_1e-04_99_12-03-15-11.zip</t>
  </si>
  <si>
    <t>DQN_NW_IEEE_03_500_1e-04_99_12-03-15-11.zip</t>
  </si>
  <si>
    <t>DQN_NW_IEEE_04_500_1e-04_99_12-03-15-11.zip</t>
  </si>
  <si>
    <t>DQN_NW_IEEE_06_500_1e-04_99_12-03-15-11.zip</t>
  </si>
  <si>
    <t>DQN_NW_IEEE_08_500_1e-04_99_12-03-15-11.zip</t>
  </si>
  <si>
    <t>DQN_SA_IEEE_01_500_1e-04_99_12-03-15-11.zip</t>
  </si>
  <si>
    <t>DQN_SA_IEEE_03_500_1e-04_99_12-03-15-11.zip</t>
  </si>
  <si>
    <t>DQN_SA_IEEE_04_500_1e-04_99_12-03-15-11.zip</t>
  </si>
  <si>
    <t>DQN_SA_IEEE_06_500_1e-04_99_12-03-15-11.zip</t>
  </si>
  <si>
    <t>DQN_SA_IEEE_08_500_1e-04_99_12-03-15-11.zip</t>
  </si>
  <si>
    <t>DQN_TP_IEEE_01_500_1e-04_99_12-03-15-11.zip</t>
  </si>
  <si>
    <t>DQN_TP_IEEE_03_500_1e-04_99_12-03-15-11.zip</t>
  </si>
  <si>
    <t>DQN_TP_IEEE_04_500_1e-04_99_12-03-15-11.zip</t>
  </si>
  <si>
    <t>DQN_TP_IEEE_06_500_1e-04_99_12-03-15-11.zip</t>
  </si>
  <si>
    <t>DQN_TP_IEEE_08_500_1e-04_99_12-03-15-11.zip</t>
  </si>
  <si>
    <t>PPO_MH_IEEE_01_500_1e-04_99_12-03-15-11.zip</t>
  </si>
  <si>
    <t>PPO_MH_IEEE_03_500_1e-04_99_12-03-15-11.zip</t>
  </si>
  <si>
    <t>PPO_MH_IEEE_04_500_1e-04_99_12-03-15-11.zip</t>
  </si>
  <si>
    <t>PPO_MH_IEEE_06_500_1e-04_99_12-03-15-11.zip</t>
  </si>
  <si>
    <t>PPO_MH_IEEE_08_500_1e-04_99_12-03-15-11.zip</t>
  </si>
  <si>
    <t>PPO_NW_IEEE_01_500_1e-04_99_12-03-15-11.zip</t>
  </si>
  <si>
    <t>PPO_NW_IEEE_03_500_1e-04_99_12-03-15-11.zip</t>
  </si>
  <si>
    <t>PPO_NW_IEEE_04_500_1e-04_99_12-03-15-11.zip</t>
  </si>
  <si>
    <t>PPO_NW_IEEE_06_500_1e-04_99_12-03-15-11.zip</t>
  </si>
  <si>
    <t>PPO_NW_IEEE_08_500_1e-04_99_12-03-15-11.zip</t>
  </si>
  <si>
    <t>PPO_SA_IEEE_01_500_1e-04_99_12-03-15-11.zip</t>
  </si>
  <si>
    <t>PPO_SA_IEEE_03_500_1e-04_99_12-03-15-11.zip</t>
  </si>
  <si>
    <t>PPO_SA_IEEE_04_500_1e-04_99_12-03-15-11.zip</t>
  </si>
  <si>
    <t>PPO_SA_IEEE_06_500_1e-04_99_12-03-15-11.zip</t>
  </si>
  <si>
    <t>PPO_SA_IEEE_08_500_1e-04_99_12-03-15-11.zip</t>
  </si>
  <si>
    <t>PPO_TP_IEEE_01_500_1e-04_99_12-03-15-11.zip</t>
  </si>
  <si>
    <t>PPO_TP_IEEE_03_500_1e-04_99_12-03-15-11.zip</t>
  </si>
  <si>
    <t>PPO_TP_IEEE_04_500_1e-04_99_12-03-15-11.zip</t>
  </si>
  <si>
    <t>PPO_TP_IEEE_06_500_1e-04_99_12-03-15-11.zip</t>
  </si>
  <si>
    <t>PPO_TP_IEEE_08_500_1e-04_99_12-03-15-11.zip</t>
  </si>
  <si>
    <t>REINFORCE_MH_IEEE_01_500_1e-04_99_12-03-15-11.zip</t>
  </si>
  <si>
    <t>REINFORCE_MH_IEEE_03_500_1e-04_99_12-03-15-11.zip</t>
  </si>
  <si>
    <t>REINFORCE_MH_IEEE_04_500_1e-04_99_12-03-15-11.zip</t>
  </si>
  <si>
    <t>REINFORCE_MH_IEEE_06_500_1e-04_99_12-03-15-11.zip</t>
  </si>
  <si>
    <t>REINFORCE_MH_IEEE_08_500_1e-04_99_12-03-15-11.zip</t>
  </si>
  <si>
    <t>REINFORCE_NW_IEEE_01_500_1e-04_99_12-03-15-11.zip</t>
  </si>
  <si>
    <t>REINFORCE_NW_IEEE_03_500_1e-04_99_12-03-15-11.zip</t>
  </si>
  <si>
    <t>REINFORCE_NW_IEEE_04_500_1e-04_99_12-03-15-11.zip</t>
  </si>
  <si>
    <t>REINFORCE_NW_IEEE_06_500_1e-04_99_12-03-15-11.zip</t>
  </si>
  <si>
    <t>REINFORCE_NW_IEEE_08_500_1e-04_99_12-03-15-11.zip</t>
  </si>
  <si>
    <t>REINFORCE_SA_IEEE_01_500_1e-04_99_12-03-15-11.zip</t>
  </si>
  <si>
    <t>REINFORCE_SA_IEEE_03_500_1e-04_99_12-03-15-11.zip</t>
  </si>
  <si>
    <t>REINFORCE_SA_IEEE_04_500_1e-04_99_12-03-15-11.zip</t>
  </si>
  <si>
    <t>REINFORCE_SA_IEEE_06_500_1e-04_99_12-03-15-11.zip</t>
  </si>
  <si>
    <t>REINFORCE_SA_IEEE_08_500_1e-04_99_12-03-15-11.zip</t>
  </si>
  <si>
    <t>REINFORCE_TP_IEEE_01_500_1e-04_99_12-03-15-11.zip</t>
  </si>
  <si>
    <t>REINFORCE_TP_IEEE_03_500_1e-04_99_12-03-15-11.zip</t>
  </si>
  <si>
    <t>REINFORCE_TP_IEEE_04_500_1e-04_99_12-03-15-11.zip</t>
  </si>
  <si>
    <t>REINFORCE_TP_IEEE_06_500_1e-04_99_12-03-15-11.zip</t>
  </si>
  <si>
    <t>REINFORCE_TP_IEEE_08_500_1e-04_99_12-03-15-11.zip</t>
  </si>
  <si>
    <t>zip</t>
  </si>
  <si>
    <t>IEEE</t>
  </si>
  <si>
    <t>Count of SIZE</t>
  </si>
  <si>
    <t>Average of SIZE</t>
  </si>
  <si>
    <t>Average of KB</t>
  </si>
  <si>
    <t>Average of LOG_10</t>
  </si>
  <si>
    <t>ieee</t>
  </si>
  <si>
    <t>Count of LOG_10</t>
  </si>
  <si>
    <t>Avg. size (B)</t>
  </si>
  <si>
    <t>Avg. size KB</t>
  </si>
  <si>
    <t>Log_10 (Avg. size kB)</t>
  </si>
  <si>
    <t>IEEE schema (averaged over 80 models)</t>
  </si>
  <si>
    <t>Multi-Head</t>
  </si>
  <si>
    <t>Nadaraya-Watson</t>
  </si>
  <si>
    <t>Self-Attention</t>
  </si>
  <si>
    <t>Temporal</t>
  </si>
  <si>
    <t>Algorithm</t>
  </si>
  <si>
    <t>Attention</t>
  </si>
  <si>
    <t>292542.95</t>
  </si>
  <si>
    <t>292.54</t>
  </si>
  <si>
    <t>2.441</t>
  </si>
  <si>
    <t>212791.80</t>
  </si>
  <si>
    <t>212.79</t>
  </si>
  <si>
    <t>2.328</t>
  </si>
  <si>
    <t>182297.00</t>
  </si>
  <si>
    <t>182.30</t>
  </si>
  <si>
    <t>2.261</t>
  </si>
  <si>
    <t>414772.60</t>
  </si>
  <si>
    <t>414.77</t>
  </si>
  <si>
    <t>2.618</t>
  </si>
  <si>
    <t>360310.40</t>
  </si>
  <si>
    <t>360.31</t>
  </si>
  <si>
    <t>2.557</t>
  </si>
  <si>
    <t>417715.05</t>
  </si>
  <si>
    <t>417.72</t>
  </si>
  <si>
    <t>2.570</t>
  </si>
  <si>
    <t>259844.40</t>
  </si>
  <si>
    <t>259.84</t>
  </si>
  <si>
    <t>2.415</t>
  </si>
  <si>
    <t>201531.80</t>
  </si>
  <si>
    <t>201.53</t>
  </si>
  <si>
    <t>2.304</t>
  </si>
  <si>
    <t>657745.60</t>
  </si>
  <si>
    <t>657.75</t>
  </si>
  <si>
    <t>2.818</t>
  </si>
  <si>
    <t>551738.40</t>
  </si>
  <si>
    <t>551.74</t>
  </si>
  <si>
    <t>2.742</t>
  </si>
  <si>
    <t>169379.95</t>
  </si>
  <si>
    <t>169.38</t>
  </si>
  <si>
    <t>2.194</t>
  </si>
  <si>
    <t>113234.20</t>
  </si>
  <si>
    <t>113.23</t>
  </si>
  <si>
    <t>2.054</t>
  </si>
  <si>
    <t>97635.60</t>
  </si>
  <si>
    <t>97.64</t>
  </si>
  <si>
    <t>1.990</t>
  </si>
  <si>
    <t>214529.60</t>
  </si>
  <si>
    <t>214.53</t>
  </si>
  <si>
    <t>2.331</t>
  </si>
  <si>
    <t>252120.40</t>
  </si>
  <si>
    <t>252.12</t>
  </si>
  <si>
    <t>2.402</t>
  </si>
  <si>
    <t>168953.60</t>
  </si>
  <si>
    <t>168.95</t>
  </si>
  <si>
    <t>2.193</t>
  </si>
  <si>
    <t>112808.00</t>
  </si>
  <si>
    <t>112.81</t>
  </si>
  <si>
    <t>2.052</t>
  </si>
  <si>
    <t>97209.00</t>
  </si>
  <si>
    <t>97.21</t>
  </si>
  <si>
    <t>1.988</t>
  </si>
  <si>
    <t>214103.20</t>
  </si>
  <si>
    <t>214.10</t>
  </si>
  <si>
    <t>251694.20</t>
  </si>
  <si>
    <t>251.69</t>
  </si>
  <si>
    <t>2.401</t>
  </si>
  <si>
    <t>SIT schema (averaged over 128  models)</t>
  </si>
  <si>
    <t>293545.69</t>
  </si>
  <si>
    <t>293.55</t>
  </si>
  <si>
    <t>2.442</t>
  </si>
  <si>
    <t>214373.00</t>
  </si>
  <si>
    <t>214.37</t>
  </si>
  <si>
    <t>182594.88</t>
  </si>
  <si>
    <t>182.59</t>
  </si>
  <si>
    <t>415327.63</t>
  </si>
  <si>
    <t>415.33</t>
  </si>
  <si>
    <t>361887.25</t>
  </si>
  <si>
    <t>361.89</t>
  </si>
  <si>
    <t>2.559</t>
  </si>
  <si>
    <t>419729.06</t>
  </si>
  <si>
    <t>419.73</t>
  </si>
  <si>
    <t>2.572</t>
  </si>
  <si>
    <t>262963.50</t>
  </si>
  <si>
    <t>262.96</t>
  </si>
  <si>
    <t>2.420</t>
  </si>
  <si>
    <t>202280.13</t>
  </si>
  <si>
    <t>202.28</t>
  </si>
  <si>
    <t>2.306</t>
  </si>
  <si>
    <t>658818.13</t>
  </si>
  <si>
    <t>658.82</t>
  </si>
  <si>
    <t>2.819</t>
  </si>
  <si>
    <t>554854.50</t>
  </si>
  <si>
    <t>554.85</t>
  </si>
  <si>
    <t>2.744</t>
  </si>
  <si>
    <t>169901.06</t>
  </si>
  <si>
    <t>169.90</t>
  </si>
  <si>
    <t>2.196</t>
  </si>
  <si>
    <t>114043.63</t>
  </si>
  <si>
    <t>114.04</t>
  </si>
  <si>
    <t>2.057</t>
  </si>
  <si>
    <t>97804.50</t>
  </si>
  <si>
    <t>97.80</t>
  </si>
  <si>
    <t>214826.63</t>
  </si>
  <si>
    <t>214.83</t>
  </si>
  <si>
    <t>2.332</t>
  </si>
  <si>
    <t>252929.50</t>
  </si>
  <si>
    <t>252.93</t>
  </si>
  <si>
    <t>2.403</t>
  </si>
  <si>
    <t>169474.94</t>
  </si>
  <si>
    <t>169.47</t>
  </si>
  <si>
    <t>113617.50</t>
  </si>
  <si>
    <t>113.62</t>
  </si>
  <si>
    <t>2.055</t>
  </si>
  <si>
    <t>97378.63</t>
  </si>
  <si>
    <t>97.38</t>
  </si>
  <si>
    <t>214400.50</t>
  </si>
  <si>
    <t>214.40</t>
  </si>
  <si>
    <t>252503.13</t>
  </si>
  <si>
    <t>252.50</t>
  </si>
  <si>
    <t>Training data</t>
  </si>
  <si>
    <t>MODELS TRAINED</t>
  </si>
  <si>
    <t>Algos</t>
  </si>
  <si>
    <t>Attentions</t>
  </si>
  <si>
    <t>15</t>
  </si>
  <si>
    <t>17</t>
  </si>
  <si>
    <t>19</t>
  </si>
  <si>
    <t>20</t>
  </si>
  <si>
    <t>7_</t>
  </si>
  <si>
    <t>8_</t>
  </si>
  <si>
    <t>9_</t>
  </si>
  <si>
    <t>Trained models</t>
  </si>
  <si>
    <t>Training Datasets (01,03,04,06,08)</t>
  </si>
  <si>
    <t>Training Datasets (07,08,09,15,17,19,20)</t>
  </si>
  <si>
    <t>Evaluation datasets  (01,03,04,06,08)</t>
  </si>
  <si>
    <t>SIT_10</t>
  </si>
  <si>
    <t>SIT_11</t>
  </si>
  <si>
    <t>SIT_12</t>
  </si>
  <si>
    <t>SIT_13</t>
  </si>
  <si>
    <t>SIT_14</t>
  </si>
  <si>
    <t>SIT_15</t>
  </si>
  <si>
    <t>SIT_16</t>
  </si>
  <si>
    <t>SIT_17</t>
  </si>
  <si>
    <t>SIT_18</t>
  </si>
  <si>
    <t>SIT_19</t>
  </si>
  <si>
    <t>SIT_20</t>
  </si>
  <si>
    <t>SIT_8</t>
  </si>
  <si>
    <t>SIT_9</t>
  </si>
  <si>
    <t>IEEE DATASETS</t>
  </si>
  <si>
    <t>SIT_7</t>
  </si>
  <si>
    <t>SIT DATASETS</t>
  </si>
  <si>
    <t>Evaluation datasets (07,08,09,10,11,12,13,14,15,16,17,18,19,20)</t>
  </si>
  <si>
    <t>Number</t>
  </si>
  <si>
    <t>Identifiers</t>
  </si>
  <si>
    <t>Training Datasets</t>
  </si>
  <si>
    <t>01,03,04,06,08</t>
  </si>
  <si>
    <t>Algorithms</t>
  </si>
  <si>
    <t>A2C, DQN, PPO and REINFORCE</t>
  </si>
  <si>
    <t>NW, TP, SA, MH</t>
  </si>
  <si>
    <t xml:space="preserve">Evaluation datasets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</si>
</sst>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4"/>
      <color theme="1"/>
      <name val="Aptos Display"/>
      <scheme val="major"/>
    </font>
    <font>
      <sz val="16"/>
      <color theme="1"/>
      <name val="Aptos Display"/>
      <scheme val="major"/>
    </font>
    <font>
      <b/>
      <sz val="16"/>
      <color theme="1"/>
      <name val="Aptos Display"/>
      <scheme val="major"/>
    </font>
    <font>
      <b/>
      <u/>
      <sz val="16"/>
      <color theme="1"/>
      <name val="Aptos Display"/>
      <scheme val="maj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1" fontId="0" fillId="0" borderId="0" xfId="0" applyNumberFormat="1"/>
    <xf numFmtId="0" fontId="0" fillId="0" borderId="0" xfId="0" applyAlignment="1">
      <alignment horizontal="left" indent="1"/>
    </xf>
    <xf numFmtId="0" fontId="18" fillId="0" borderId="0" xfId="0" applyFont="1"/>
    <xf numFmtId="2" fontId="18" fillId="0" borderId="0" xfId="0" applyNumberFormat="1" applyFont="1" applyAlignment="1">
      <alignment horizontal="right"/>
    </xf>
    <xf numFmtId="2" fontId="18" fillId="0" borderId="0" xfId="0" applyNumberFormat="1" applyFont="1"/>
    <xf numFmtId="164" fontId="18" fillId="0" borderId="0" xfId="0" applyNumberFormat="1" applyFont="1"/>
    <xf numFmtId="164" fontId="18" fillId="0" borderId="0" xfId="0" applyNumberFormat="1" applyFont="1" applyAlignment="1">
      <alignment horizontal="right"/>
    </xf>
    <xf numFmtId="0" fontId="19" fillId="0" borderId="0" xfId="0" applyFont="1"/>
    <xf numFmtId="0" fontId="20" fillId="33" borderId="0" xfId="0" applyFont="1" applyFill="1"/>
    <xf numFmtId="0" fontId="0" fillId="34" borderId="0" xfId="0" applyFill="1"/>
    <xf numFmtId="0" fontId="20" fillId="0" borderId="0" xfId="0" applyFont="1"/>
    <xf numFmtId="0" fontId="21" fillId="0" borderId="0" xfId="0" applyFont="1"/>
    <xf numFmtId="0" fontId="19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esh Siraskar" refreshedDate="46130.564134722219" createdVersion="8" refreshedVersion="8" minRefreshableVersion="3" recordCount="81" xr:uid="{0252BF93-8D0E-1046-BF26-EEBDF73B0890}">
  <cacheSource type="worksheet">
    <worksheetSource ref="A1:H1048576" sheet="IEEE Models"/>
  </cacheSource>
  <cacheFields count="7">
    <cacheField name="file" numFmtId="0">
      <sharedItems containsBlank="1"/>
    </cacheField>
    <cacheField name="SIZE" numFmtId="0">
      <sharedItems containsString="0" containsBlank="1" containsNumber="1" containsInteger="1" minValue="97209" maxValue="657750"/>
    </cacheField>
    <cacheField name="ALGO" numFmtId="0">
      <sharedItems containsBlank="1" count="5">
        <s v="A2C"/>
        <s v="DQN"/>
        <s v="PPO"/>
        <s v="REINFORCE"/>
        <m/>
      </sharedItems>
    </cacheField>
    <cacheField name="ATTENTION" numFmtId="0">
      <sharedItems containsBlank="1" count="5">
        <s v="MH"/>
        <s v="NW"/>
        <s v="SA"/>
        <s v="TP"/>
        <m/>
      </sharedItems>
    </cacheField>
    <cacheField name="SCHEMA" numFmtId="0">
      <sharedItems containsBlank="1"/>
    </cacheField>
    <cacheField name="KB" numFmtId="0">
      <sharedItems containsString="0" containsBlank="1" containsNumber="1" minValue="97.209000000000003" maxValue="657.75"/>
    </cacheField>
    <cacheField name="LOG_10" numFmtId="0">
      <sharedItems containsString="0" containsBlank="1" containsNumber="1" minValue="1.98770647551673" maxValue="2.81806085675774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esh Siraskar" refreshedDate="46130.56694074074" createdVersion="8" refreshedVersion="8" minRefreshableVersion="3" recordCount="129" xr:uid="{69603FEC-983A-8C42-BB21-FA4BFAB6FB99}">
  <cacheSource type="worksheet">
    <worksheetSource ref="A1:H1048576" sheet="SIT_MODELS"/>
  </cacheSource>
  <cacheFields count="7">
    <cacheField name="file" numFmtId="0">
      <sharedItems containsBlank="1"/>
    </cacheField>
    <cacheField name="SIZE" numFmtId="0">
      <sharedItems containsString="0" containsBlank="1" containsNumber="1" containsInteger="1" minValue="97378" maxValue="658824"/>
    </cacheField>
    <cacheField name="ALGO" numFmtId="0">
      <sharedItems containsBlank="1" count="5">
        <s v="A2C"/>
        <s v="DQN"/>
        <s v="PPO"/>
        <s v="REINFORCE"/>
        <m/>
      </sharedItems>
    </cacheField>
    <cacheField name="ATTENTION" numFmtId="0">
      <sharedItems containsBlank="1" count="5">
        <s v="MH"/>
        <s v="NW"/>
        <s v="SA"/>
        <s v="TP"/>
        <m/>
      </sharedItems>
    </cacheField>
    <cacheField name="SCHEMA" numFmtId="0">
      <sharedItems containsBlank="1" count="2">
        <s v="SIT"/>
        <m/>
      </sharedItems>
    </cacheField>
    <cacheField name="KB" numFmtId="0">
      <sharedItems containsString="0" containsBlank="1" containsNumber="1" minValue="97.378" maxValue="658.82399999999996"/>
    </cacheField>
    <cacheField name="LOG_10" numFmtId="0">
      <sharedItems containsString="0" containsBlank="1" containsNumber="1" minValue="1.9884608505355736" maxValue="2.81876941150214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">
  <r>
    <s v="A2C_MH_IEEE_01_500_1e-04_99_12-03-15-11.zip"/>
    <n v="212792"/>
    <x v="0"/>
    <x v="0"/>
    <s v="IEEE"/>
    <n v="212.792"/>
    <n v="2.3279552964558849"/>
  </r>
  <r>
    <s v="A2C_MH_IEEE_03_500_1e-04_99_12-03-15-11.zip"/>
    <n v="212791"/>
    <x v="0"/>
    <x v="0"/>
    <s v="IEEE"/>
    <n v="212.791"/>
    <n v="2.3279532555168347"/>
  </r>
  <r>
    <s v="A2C_MH_IEEE_04_500_1e-04_99_12-03-15-11.zip"/>
    <n v="212792"/>
    <x v="0"/>
    <x v="0"/>
    <s v="IEEE"/>
    <n v="212.792"/>
    <n v="2.3279552964558849"/>
  </r>
  <r>
    <s v="A2C_MH_IEEE_06_500_1e-04_99_12-03-15-11.zip"/>
    <n v="212792"/>
    <x v="0"/>
    <x v="0"/>
    <s v="IEEE"/>
    <n v="212.792"/>
    <n v="2.3279552964558849"/>
  </r>
  <r>
    <s v="A2C_MH_IEEE_08_500_1e-04_99_12-03-15-11.zip"/>
    <n v="212792"/>
    <x v="0"/>
    <x v="0"/>
    <s v="IEEE"/>
    <n v="212.792"/>
    <n v="2.3279552964558849"/>
  </r>
  <r>
    <s v="A2C_NW_IEEE_01_500_1e-04_99_12-03-15-11.zip"/>
    <n v="182296"/>
    <x v="0"/>
    <x v="1"/>
    <s v="IEEE"/>
    <n v="182.29599999999999"/>
    <n v="2.2607771393242779"/>
  </r>
  <r>
    <s v="A2C_NW_IEEE_03_500_1e-04_99_12-03-15-11.zip"/>
    <n v="182299"/>
    <x v="0"/>
    <x v="1"/>
    <s v="IEEE"/>
    <n v="182.29900000000001"/>
    <n v="2.2607842863419041"/>
  </r>
  <r>
    <s v="A2C_NW_IEEE_04_500_1e-04_99_12-03-15-11.zip"/>
    <n v="182297"/>
    <x v="0"/>
    <x v="1"/>
    <s v="IEEE"/>
    <n v="182.297"/>
    <n v="2.2607795216765552"/>
  </r>
  <r>
    <s v="A2C_NW_IEEE_06_500_1e-04_99_12-03-15-11.zip"/>
    <n v="182296"/>
    <x v="0"/>
    <x v="1"/>
    <s v="IEEE"/>
    <n v="182.29599999999999"/>
    <n v="2.2607771393242779"/>
  </r>
  <r>
    <s v="A2C_NW_IEEE_08_500_1e-04_99_12-03-15-11.zip"/>
    <n v="182297"/>
    <x v="0"/>
    <x v="1"/>
    <s v="IEEE"/>
    <n v="182.297"/>
    <n v="2.2607795216765552"/>
  </r>
  <r>
    <s v="A2C_SA_IEEE_01_500_1e-04_99_12-03-15-11.zip"/>
    <n v="414773"/>
    <x v="0"/>
    <x v="2"/>
    <s v="IEEE"/>
    <n v="414.77300000000002"/>
    <n v="2.6178104778697073"/>
  </r>
  <r>
    <s v="A2C_SA_IEEE_03_500_1e-04_99_12-03-15-11.zip"/>
    <n v="414775"/>
    <x v="0"/>
    <x v="2"/>
    <s v="IEEE"/>
    <n v="414.77499999999998"/>
    <n v="2.6178125719955778"/>
  </r>
  <r>
    <s v="A2C_SA_IEEE_04_500_1e-04_99_12-03-15-11.zip"/>
    <n v="414771"/>
    <x v="0"/>
    <x v="2"/>
    <s v="IEEE"/>
    <n v="414.77100000000002"/>
    <n v="2.6178083837337391"/>
  </r>
  <r>
    <s v="A2C_SA_IEEE_06_500_1e-04_99_12-03-15-11.zip"/>
    <n v="414770"/>
    <x v="0"/>
    <x v="2"/>
    <s v="IEEE"/>
    <n v="414.77"/>
    <n v="2.6178073366619681"/>
  </r>
  <r>
    <s v="A2C_SA_IEEE_08_500_1e-04_99_12-03-15-11.zip"/>
    <n v="414774"/>
    <x v="0"/>
    <x v="2"/>
    <s v="IEEE"/>
    <n v="414.774"/>
    <n v="2.6178115249339045"/>
  </r>
  <r>
    <s v="A2C_TP_IEEE_01_500_1e-04_99_12-03-15-11.zip"/>
    <n v="360309"/>
    <x v="0"/>
    <x v="3"/>
    <s v="IEEE"/>
    <n v="360.30900000000003"/>
    <n v="2.5566751103088592"/>
  </r>
  <r>
    <s v="A2C_TP_IEEE_03_500_1e-04_99_12-03-15-11.zip"/>
    <n v="360312"/>
    <x v="0"/>
    <x v="3"/>
    <s v="IEEE"/>
    <n v="360.31200000000001"/>
    <n v="2.5566787263107398"/>
  </r>
  <r>
    <s v="A2C_TP_IEEE_04_500_1e-04_99_12-03-15-11.zip"/>
    <n v="360310"/>
    <x v="0"/>
    <x v="3"/>
    <s v="IEEE"/>
    <n v="360.31"/>
    <n v="2.5566763156461647"/>
  </r>
  <r>
    <s v="A2C_TP_IEEE_06_500_1e-04_99_12-03-15-11.zip"/>
    <n v="360311"/>
    <x v="0"/>
    <x v="3"/>
    <s v="IEEE"/>
    <n v="360.31099999999998"/>
    <n v="2.5566775209801249"/>
  </r>
  <r>
    <s v="A2C_TP_IEEE_08_500_1e-04_99_12-03-15-11.zip"/>
    <n v="360310"/>
    <x v="0"/>
    <x v="3"/>
    <s v="IEEE"/>
    <n v="360.31"/>
    <n v="2.5566763156461647"/>
  </r>
  <r>
    <s v="DQN_MH_IEEE_01_500_1e-04_99_12-03-15-11.zip"/>
    <n v="259845"/>
    <x v="1"/>
    <x v="0"/>
    <s v="IEEE"/>
    <n v="259.84500000000003"/>
    <n v="2.4147143644403815"/>
  </r>
  <r>
    <s v="DQN_MH_IEEE_03_500_1e-04_99_12-03-15-11.zip"/>
    <n v="259849"/>
    <x v="1"/>
    <x v="0"/>
    <s v="IEEE"/>
    <n v="259.84899999999999"/>
    <n v="2.4147210498280431"/>
  </r>
  <r>
    <s v="DQN_MH_IEEE_04_500_1e-04_99_12-03-15-11.zip"/>
    <n v="259838"/>
    <x v="1"/>
    <x v="0"/>
    <s v="IEEE"/>
    <n v="259.83800000000002"/>
    <n v="2.4147026647643348"/>
  </r>
  <r>
    <s v="DQN_MH_IEEE_06_500_1e-04_99_12-03-15-11.zip"/>
    <n v="259845"/>
    <x v="1"/>
    <x v="0"/>
    <s v="IEEE"/>
    <n v="259.84500000000003"/>
    <n v="2.4147143644403815"/>
  </r>
  <r>
    <s v="DQN_MH_IEEE_08_500_1e-04_99_12-03-15-11.zip"/>
    <n v="259845"/>
    <x v="1"/>
    <x v="0"/>
    <s v="IEEE"/>
    <n v="259.84500000000003"/>
    <n v="2.4147143644403815"/>
  </r>
  <r>
    <s v="DQN_NW_IEEE_01_500_1e-04_99_12-03-15-11.zip"/>
    <n v="201528"/>
    <x v="1"/>
    <x v="1"/>
    <s v="IEEE"/>
    <n v="201.52799999999999"/>
    <n v="2.3043353948974308"/>
  </r>
  <r>
    <s v="DQN_NW_IEEE_03_500_1e-04_99_12-03-15-11.zip"/>
    <n v="201532"/>
    <x v="1"/>
    <x v="1"/>
    <s v="IEEE"/>
    <n v="201.53200000000001"/>
    <n v="2.3043440148444745"/>
  </r>
  <r>
    <s v="DQN_NW_IEEE_04_500_1e-04_99_12-03-15-11.zip"/>
    <n v="201531"/>
    <x v="1"/>
    <x v="1"/>
    <s v="IEEE"/>
    <n v="201.53100000000001"/>
    <n v="2.3043418598737531"/>
  </r>
  <r>
    <s v="DQN_NW_IEEE_06_500_1e-04_99_12-03-15-11.zip"/>
    <n v="201534"/>
    <x v="1"/>
    <x v="1"/>
    <s v="IEEE"/>
    <n v="201.53399999999999"/>
    <n v="2.3043483247538381"/>
  </r>
  <r>
    <s v="DQN_NW_IEEE_08_500_1e-04_99_12-03-15-11.zip"/>
    <n v="201534"/>
    <x v="1"/>
    <x v="1"/>
    <s v="IEEE"/>
    <n v="201.53399999999999"/>
    <n v="2.3043483247538381"/>
  </r>
  <r>
    <s v="DQN_SA_IEEE_01_500_1e-04_99_12-03-15-11.zip"/>
    <n v="657743"/>
    <x v="1"/>
    <x v="2"/>
    <s v="IEEE"/>
    <n v="657.74300000000005"/>
    <n v="2.8180562348230387"/>
  </r>
  <r>
    <s v="DQN_SA_IEEE_03_500_1e-04_99_12-03-15-11.zip"/>
    <n v="657750"/>
    <x v="1"/>
    <x v="2"/>
    <s v="IEEE"/>
    <n v="657.75"/>
    <n v="2.8180608567577408"/>
  </r>
  <r>
    <s v="DQN_SA_IEEE_04_500_1e-04_99_12-03-15-11.zip"/>
    <n v="657746"/>
    <x v="1"/>
    <x v="2"/>
    <s v="IEEE"/>
    <n v="657.74599999999998"/>
    <n v="2.8180582156582199"/>
  </r>
  <r>
    <s v="DQN_SA_IEEE_06_500_1e-04_99_12-03-15-11.zip"/>
    <n v="657743"/>
    <x v="1"/>
    <x v="2"/>
    <s v="IEEE"/>
    <n v="657.74300000000005"/>
    <n v="2.8180562348230387"/>
  </r>
  <r>
    <s v="DQN_SA_IEEE_08_500_1e-04_99_12-03-15-11.zip"/>
    <n v="657746"/>
    <x v="1"/>
    <x v="2"/>
    <s v="IEEE"/>
    <n v="657.74599999999998"/>
    <n v="2.8180582156582199"/>
  </r>
  <r>
    <s v="DQN_TP_IEEE_01_500_1e-04_99_12-03-15-11.zip"/>
    <n v="551735"/>
    <x v="1"/>
    <x v="3"/>
    <s v="IEEE"/>
    <n v="551.73500000000001"/>
    <n v="2.7417305348454164"/>
  </r>
  <r>
    <s v="DQN_TP_IEEE_03_500_1e-04_99_12-03-15-11.zip"/>
    <n v="551741"/>
    <x v="1"/>
    <x v="3"/>
    <s v="IEEE"/>
    <n v="551.74099999999999"/>
    <n v="2.7417352576792462"/>
  </r>
  <r>
    <s v="DQN_TP_IEEE_04_500_1e-04_99_12-03-15-11.zip"/>
    <n v="551737"/>
    <x v="1"/>
    <x v="3"/>
    <s v="IEEE"/>
    <n v="551.73699999999997"/>
    <n v="2.7417321091290661"/>
  </r>
  <r>
    <s v="DQN_TP_IEEE_06_500_1e-04_99_12-03-15-11.zip"/>
    <n v="551738"/>
    <x v="1"/>
    <x v="3"/>
    <s v="IEEE"/>
    <n v="551.73800000000006"/>
    <n v="2.7417328962687511"/>
  </r>
  <r>
    <s v="DQN_TP_IEEE_08_500_1e-04_99_12-03-15-11.zip"/>
    <n v="551741"/>
    <x v="1"/>
    <x v="3"/>
    <s v="IEEE"/>
    <n v="551.74099999999999"/>
    <n v="2.7417352576792462"/>
  </r>
  <r>
    <s v="PPO_MH_IEEE_01_500_1e-04_99_12-03-15-11.zip"/>
    <n v="113234"/>
    <x v="2"/>
    <x v="0"/>
    <s v="IEEE"/>
    <n v="113.23399999999999"/>
    <n v="2.0539768490723755"/>
  </r>
  <r>
    <s v="PPO_MH_IEEE_03_500_1e-04_99_12-03-15-11.zip"/>
    <n v="113234"/>
    <x v="2"/>
    <x v="0"/>
    <s v="IEEE"/>
    <n v="113.23399999999999"/>
    <n v="2.0539768490723755"/>
  </r>
  <r>
    <s v="PPO_MH_IEEE_04_500_1e-04_99_12-03-15-11.zip"/>
    <n v="113234"/>
    <x v="2"/>
    <x v="0"/>
    <s v="IEEE"/>
    <n v="113.23399999999999"/>
    <n v="2.0539768490723755"/>
  </r>
  <r>
    <s v="PPO_MH_IEEE_06_500_1e-04_99_12-03-15-11.zip"/>
    <n v="113234"/>
    <x v="2"/>
    <x v="0"/>
    <s v="IEEE"/>
    <n v="113.23399999999999"/>
    <n v="2.0539768490723755"/>
  </r>
  <r>
    <s v="PPO_MH_IEEE_08_500_1e-04_99_12-03-15-11.zip"/>
    <n v="113235"/>
    <x v="2"/>
    <x v="0"/>
    <s v="IEEE"/>
    <n v="113.235"/>
    <n v="2.0539806844271653"/>
  </r>
  <r>
    <s v="PPO_NW_IEEE_01_500_1e-04_99_12-03-15-11.zip"/>
    <n v="97635"/>
    <x v="2"/>
    <x v="1"/>
    <s v="IEEE"/>
    <n v="97.635000000000005"/>
    <n v="1.9896055305975644"/>
  </r>
  <r>
    <s v="PPO_NW_IEEE_03_500_1e-04_99_12-03-15-11.zip"/>
    <n v="97635"/>
    <x v="2"/>
    <x v="1"/>
    <s v="IEEE"/>
    <n v="97.635000000000005"/>
    <n v="1.9896055305975644"/>
  </r>
  <r>
    <s v="PPO_NW_IEEE_04_500_1e-04_99_12-03-15-11.zip"/>
    <n v="97636"/>
    <x v="2"/>
    <x v="1"/>
    <s v="IEEE"/>
    <n v="97.635999999999996"/>
    <n v="1.9896099787181958"/>
  </r>
  <r>
    <s v="PPO_NW_IEEE_06_500_1e-04_99_12-03-15-11.zip"/>
    <n v="97636"/>
    <x v="2"/>
    <x v="1"/>
    <s v="IEEE"/>
    <n v="97.635999999999996"/>
    <n v="1.9896099787181958"/>
  </r>
  <r>
    <s v="PPO_NW_IEEE_08_500_1e-04_99_12-03-15-11.zip"/>
    <n v="97636"/>
    <x v="2"/>
    <x v="1"/>
    <s v="IEEE"/>
    <n v="97.635999999999996"/>
    <n v="1.9896099787181958"/>
  </r>
  <r>
    <s v="PPO_SA_IEEE_01_500_1e-04_99_12-03-15-11.zip"/>
    <n v="214530"/>
    <x v="2"/>
    <x v="2"/>
    <s v="IEEE"/>
    <n v="214.53"/>
    <n v="2.3314880327605318"/>
  </r>
  <r>
    <s v="PPO_SA_IEEE_03_500_1e-04_99_12-03-15-11.zip"/>
    <n v="214530"/>
    <x v="2"/>
    <x v="2"/>
    <s v="IEEE"/>
    <n v="214.53"/>
    <n v="2.3314880327605318"/>
  </r>
  <r>
    <s v="PPO_SA_IEEE_04_500_1e-04_99_12-03-15-11.zip"/>
    <n v="214529"/>
    <x v="2"/>
    <x v="2"/>
    <s v="IEEE"/>
    <n v="214.529"/>
    <n v="2.3314860083560474"/>
  </r>
  <r>
    <s v="PPO_SA_IEEE_06_500_1e-04_99_12-03-15-11.zip"/>
    <n v="214529"/>
    <x v="2"/>
    <x v="2"/>
    <s v="IEEE"/>
    <n v="214.529"/>
    <n v="2.3314860083560474"/>
  </r>
  <r>
    <s v="PPO_SA_IEEE_08_500_1e-04_99_12-03-15-11.zip"/>
    <n v="214530"/>
    <x v="2"/>
    <x v="2"/>
    <s v="IEEE"/>
    <n v="214.53"/>
    <n v="2.3314880327605318"/>
  </r>
  <r>
    <s v="PPO_TP_IEEE_01_500_1e-04_99_12-03-15-11.zip"/>
    <n v="252120"/>
    <x v="2"/>
    <x v="3"/>
    <s v="IEEE"/>
    <n v="252.12"/>
    <n v="2.4016072984535772"/>
  </r>
  <r>
    <s v="PPO_TP_IEEE_03_500_1e-04_99_12-03-15-11.zip"/>
    <n v="252120"/>
    <x v="2"/>
    <x v="3"/>
    <s v="IEEE"/>
    <n v="252.12"/>
    <n v="2.4016072984535772"/>
  </r>
  <r>
    <s v="PPO_TP_IEEE_04_500_1e-04_99_12-03-15-11.zip"/>
    <n v="252121"/>
    <x v="2"/>
    <x v="3"/>
    <s v="IEEE"/>
    <n v="252.12100000000001"/>
    <n v="2.4016090210206906"/>
  </r>
  <r>
    <s v="PPO_TP_IEEE_06_500_1e-04_99_12-03-15-11.zip"/>
    <n v="252121"/>
    <x v="2"/>
    <x v="3"/>
    <s v="IEEE"/>
    <n v="252.12100000000001"/>
    <n v="2.4016090210206906"/>
  </r>
  <r>
    <s v="PPO_TP_IEEE_08_500_1e-04_99_12-03-15-11.zip"/>
    <n v="252120"/>
    <x v="2"/>
    <x v="3"/>
    <s v="IEEE"/>
    <n v="252.12"/>
    <n v="2.4016072984535772"/>
  </r>
  <r>
    <s v="REINFORCE_MH_IEEE_01_500_1e-04_99_12-03-15-11.zip"/>
    <n v="112808"/>
    <x v="3"/>
    <x v="0"/>
    <s v="IEEE"/>
    <n v="112.80800000000001"/>
    <n v="2.0523398995822255"/>
  </r>
  <r>
    <s v="REINFORCE_MH_IEEE_03_500_1e-04_99_12-03-15-11.zip"/>
    <n v="112808"/>
    <x v="3"/>
    <x v="0"/>
    <s v="IEEE"/>
    <n v="112.80800000000001"/>
    <n v="2.0523398995822255"/>
  </r>
  <r>
    <s v="REINFORCE_MH_IEEE_04_500_1e-04_99_12-03-15-11.zip"/>
    <n v="112808"/>
    <x v="3"/>
    <x v="0"/>
    <s v="IEEE"/>
    <n v="112.80800000000001"/>
    <n v="2.0523398995822255"/>
  </r>
  <r>
    <s v="REINFORCE_MH_IEEE_06_500_1e-04_99_12-03-15-11.zip"/>
    <n v="112808"/>
    <x v="3"/>
    <x v="0"/>
    <s v="IEEE"/>
    <n v="112.80800000000001"/>
    <n v="2.0523398995822255"/>
  </r>
  <r>
    <s v="REINFORCE_MH_IEEE_08_500_1e-04_99_12-03-15-11.zip"/>
    <n v="112808"/>
    <x v="3"/>
    <x v="0"/>
    <s v="IEEE"/>
    <n v="112.80800000000001"/>
    <n v="2.0523398995822255"/>
  </r>
  <r>
    <s v="REINFORCE_NW_IEEE_01_500_1e-04_99_12-03-15-11.zip"/>
    <n v="97209"/>
    <x v="3"/>
    <x v="1"/>
    <s v="IEEE"/>
    <n v="97.209000000000003"/>
    <n v="1.98770647551673"/>
  </r>
  <r>
    <s v="REINFORCE_NW_IEEE_03_500_1e-04_99_12-03-15-11.zip"/>
    <n v="97209"/>
    <x v="3"/>
    <x v="1"/>
    <s v="IEEE"/>
    <n v="97.209000000000003"/>
    <n v="1.98770647551673"/>
  </r>
  <r>
    <s v="REINFORCE_NW_IEEE_04_500_1e-04_99_12-03-15-11.zip"/>
    <n v="97209"/>
    <x v="3"/>
    <x v="1"/>
    <s v="IEEE"/>
    <n v="97.209000000000003"/>
    <n v="1.98770647551673"/>
  </r>
  <r>
    <s v="REINFORCE_NW_IEEE_06_500_1e-04_99_12-03-15-11.zip"/>
    <n v="97209"/>
    <x v="3"/>
    <x v="1"/>
    <s v="IEEE"/>
    <n v="97.209000000000003"/>
    <n v="1.98770647551673"/>
  </r>
  <r>
    <s v="REINFORCE_NW_IEEE_08_500_1e-04_99_12-03-15-11.zip"/>
    <n v="97209"/>
    <x v="3"/>
    <x v="1"/>
    <s v="IEEE"/>
    <n v="97.209000000000003"/>
    <n v="1.98770647551673"/>
  </r>
  <r>
    <s v="REINFORCE_SA_IEEE_01_500_1e-04_99_12-03-15-11.zip"/>
    <n v="214103"/>
    <x v="3"/>
    <x v="2"/>
    <s v="IEEE"/>
    <n v="214.10300000000001"/>
    <n v="2.3306227526485612"/>
  </r>
  <r>
    <s v="REINFORCE_SA_IEEE_03_500_1e-04_99_12-03-15-11.zip"/>
    <n v="214103"/>
    <x v="3"/>
    <x v="2"/>
    <s v="IEEE"/>
    <n v="214.10300000000001"/>
    <n v="2.3306227526485612"/>
  </r>
  <r>
    <s v="REINFORCE_SA_IEEE_04_500_1e-04_99_12-03-15-11.zip"/>
    <n v="214103"/>
    <x v="3"/>
    <x v="2"/>
    <s v="IEEE"/>
    <n v="214.10300000000001"/>
    <n v="2.3306227526485612"/>
  </r>
  <r>
    <s v="REINFORCE_SA_IEEE_06_500_1e-04_99_12-03-15-11.zip"/>
    <n v="214104"/>
    <x v="3"/>
    <x v="2"/>
    <s v="IEEE"/>
    <n v="214.10400000000001"/>
    <n v="2.3306247810809873"/>
  </r>
  <r>
    <s v="REINFORCE_SA_IEEE_08_500_1e-04_99_12-03-15-11.zip"/>
    <n v="214103"/>
    <x v="3"/>
    <x v="2"/>
    <s v="IEEE"/>
    <n v="214.10300000000001"/>
    <n v="2.3306227526485612"/>
  </r>
  <r>
    <s v="REINFORCE_TP_IEEE_01_500_1e-04_99_12-03-15-11.zip"/>
    <n v="251695"/>
    <x v="3"/>
    <x v="3"/>
    <s v="IEEE"/>
    <n v="251.69499999999999"/>
    <n v="2.4008745882381608"/>
  </r>
  <r>
    <s v="REINFORCE_TP_IEEE_03_500_1e-04_99_12-03-15-11.zip"/>
    <n v="251694"/>
    <x v="3"/>
    <x v="3"/>
    <s v="IEEE"/>
    <n v="251.69399999999999"/>
    <n v="2.4008728627555542"/>
  </r>
  <r>
    <s v="REINFORCE_TP_IEEE_04_500_1e-04_99_12-03-15-11.zip"/>
    <n v="251694"/>
    <x v="3"/>
    <x v="3"/>
    <s v="IEEE"/>
    <n v="251.69399999999999"/>
    <n v="2.4008728627555542"/>
  </r>
  <r>
    <s v="REINFORCE_TP_IEEE_06_500_1e-04_99_12-03-15-11.zip"/>
    <n v="251694"/>
    <x v="3"/>
    <x v="3"/>
    <s v="IEEE"/>
    <n v="251.69399999999999"/>
    <n v="2.4008728627555542"/>
  </r>
  <r>
    <s v="REINFORCE_TP_IEEE_08_500_1e-04_99_12-03-15-11.zip"/>
    <n v="251694"/>
    <x v="3"/>
    <x v="3"/>
    <s v="IEEE"/>
    <n v="251.69399999999999"/>
    <n v="2.4008728627555542"/>
  </r>
  <r>
    <m/>
    <m/>
    <x v="4"/>
    <x v="4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9">
  <r>
    <s v="A2C_MH_SIT_15_500_1e-04_99_05-03-14-53.zip"/>
    <n v="214372"/>
    <x v="0"/>
    <x v="0"/>
    <x v="0"/>
    <n v="214.37200000000001"/>
    <n v="2.3311680597539026"/>
  </r>
  <r>
    <s v="A2C_MH_SIT_17_500_1e-04_99_05-03-14-53.zip"/>
    <n v="214372"/>
    <x v="0"/>
    <x v="0"/>
    <x v="0"/>
    <n v="214.37200000000001"/>
    <n v="2.3311680597539026"/>
  </r>
  <r>
    <s v="A2C_MH_SIT_19_500_1e-04_99_05-03-14-53.zip"/>
    <n v="214372"/>
    <x v="0"/>
    <x v="0"/>
    <x v="0"/>
    <n v="214.37200000000001"/>
    <n v="2.3311680597539026"/>
  </r>
  <r>
    <s v="A2C_MH_SIT_19_500_1e-04_99_12-03-08-48.zip"/>
    <n v="214372"/>
    <x v="0"/>
    <x v="0"/>
    <x v="0"/>
    <n v="214.37200000000001"/>
    <n v="2.3311680597539026"/>
  </r>
  <r>
    <s v="A2C_MH_SIT_20_500_1e-04_99_12-03-08-48.zip"/>
    <n v="214372"/>
    <x v="0"/>
    <x v="0"/>
    <x v="0"/>
    <n v="214.37200000000001"/>
    <n v="2.3311680597539026"/>
  </r>
  <r>
    <s v="A2C_MH_SIT_7_500_1e-04_99_12-03-08-48.zip"/>
    <n v="214382"/>
    <x v="0"/>
    <x v="0"/>
    <x v="0"/>
    <n v="214.38200000000001"/>
    <n v="2.3311883181996307"/>
  </r>
  <r>
    <s v="A2C_MH_SIT_8_500_1e-04_99_12-03-08-48.zip"/>
    <n v="214372"/>
    <x v="0"/>
    <x v="0"/>
    <x v="0"/>
    <n v="214.37200000000001"/>
    <n v="2.3311680597539026"/>
  </r>
  <r>
    <s v="A2C_MH_SIT_9_500_1e-04_99_12-03-08-48.zip"/>
    <n v="214370"/>
    <x v="0"/>
    <x v="0"/>
    <x v="0"/>
    <n v="214.37"/>
    <n v="2.3311640079513554"/>
  </r>
  <r>
    <s v="A2C_NW_SIT_15_500_1e-04_99_05-03-14-53.zip"/>
    <n v="182595"/>
    <x v="0"/>
    <x v="1"/>
    <x v="0"/>
    <n v="182.595"/>
    <n v="2.2614888810726503"/>
  </r>
  <r>
    <s v="A2C_NW_SIT_17_500_1e-04_99_05-03-14-53.zip"/>
    <n v="182595"/>
    <x v="0"/>
    <x v="1"/>
    <x v="0"/>
    <n v="182.595"/>
    <n v="2.2614888810726503"/>
  </r>
  <r>
    <s v="A2C_NW_SIT_19_500_1e-04_99_05-03-14-53.zip"/>
    <n v="182595"/>
    <x v="0"/>
    <x v="1"/>
    <x v="0"/>
    <n v="182.595"/>
    <n v="2.2614888810726503"/>
  </r>
  <r>
    <s v="A2C_NW_SIT_19_500_1e-04_99_12-03-08-48.zip"/>
    <n v="182595"/>
    <x v="0"/>
    <x v="1"/>
    <x v="0"/>
    <n v="182.595"/>
    <n v="2.2614888810726503"/>
  </r>
  <r>
    <s v="A2C_NW_SIT_20_500_1e-04_99_12-03-08-48.zip"/>
    <n v="182594"/>
    <x v="0"/>
    <x v="1"/>
    <x v="0"/>
    <n v="182.59399999999999"/>
    <n v="2.2614865026084474"/>
  </r>
  <r>
    <s v="A2C_NW_SIT_7_500_1e-04_99_12-03-08-48.zip"/>
    <n v="182595"/>
    <x v="0"/>
    <x v="1"/>
    <x v="0"/>
    <n v="182.595"/>
    <n v="2.2614888810726503"/>
  </r>
  <r>
    <s v="A2C_NW_SIT_8_500_1e-04_99_12-03-08-48.zip"/>
    <n v="182595"/>
    <x v="0"/>
    <x v="1"/>
    <x v="0"/>
    <n v="182.595"/>
    <n v="2.2614888810726503"/>
  </r>
  <r>
    <s v="A2C_NW_SIT_9_500_1e-04_99_12-03-08-48.zip"/>
    <n v="182595"/>
    <x v="0"/>
    <x v="1"/>
    <x v="0"/>
    <n v="182.595"/>
    <n v="2.2614888810726503"/>
  </r>
  <r>
    <s v="A2C_SA_SIT_15_500_1e-04_99_05-03-14-53.zip"/>
    <n v="415326"/>
    <x v="0"/>
    <x v="2"/>
    <x v="0"/>
    <n v="415.32600000000002"/>
    <n v="2.6183891194149234"/>
  </r>
  <r>
    <s v="A2C_SA_SIT_17_500_1e-04_99_05-03-14-53.zip"/>
    <n v="415327"/>
    <x v="0"/>
    <x v="2"/>
    <x v="0"/>
    <n v="415.327"/>
    <n v="2.618390165084973"/>
  </r>
  <r>
    <s v="A2C_SA_SIT_19_500_1e-04_99_05-03-14-53.zip"/>
    <n v="415327"/>
    <x v="0"/>
    <x v="2"/>
    <x v="0"/>
    <n v="415.327"/>
    <n v="2.618390165084973"/>
  </r>
  <r>
    <s v="A2C_SA_SIT_19_500_1e-04_99_12-03-08-48.zip"/>
    <n v="415324"/>
    <x v="0"/>
    <x v="2"/>
    <x v="0"/>
    <n v="415.32400000000001"/>
    <n v="2.6183870280672705"/>
  </r>
  <r>
    <s v="A2C_SA_SIT_20_500_1e-04_99_12-03-08-48.zip"/>
    <n v="415328"/>
    <x v="0"/>
    <x v="2"/>
    <x v="0"/>
    <n v="415.32799999999997"/>
    <n v="2.6183912107525047"/>
  </r>
  <r>
    <s v="A2C_SA_SIT_7_500_1e-04_99_12-03-08-48.zip"/>
    <n v="415327"/>
    <x v="0"/>
    <x v="2"/>
    <x v="0"/>
    <n v="415.327"/>
    <n v="2.618390165084973"/>
  </r>
  <r>
    <s v="A2C_SA_SIT_8_500_1e-04_99_12-03-08-48.zip"/>
    <n v="415338"/>
    <x v="0"/>
    <x v="2"/>
    <x v="0"/>
    <n v="415.33800000000002"/>
    <n v="2.6184016672893544"/>
  </r>
  <r>
    <s v="A2C_SA_SIT_9_500_1e-04_99_12-03-08-48.zip"/>
    <n v="415324"/>
    <x v="0"/>
    <x v="2"/>
    <x v="0"/>
    <n v="415.32400000000001"/>
    <n v="2.6183870280672705"/>
  </r>
  <r>
    <s v="A2C_TP_SIT_15_500_1e-04_99_05-03-14-53.zip"/>
    <n v="361887"/>
    <x v="0"/>
    <x v="3"/>
    <x v="0"/>
    <n v="361.887"/>
    <n v="2.5585729823077834"/>
  </r>
  <r>
    <s v="A2C_TP_SIT_17_500_1e-04_99_05-03-14-53.zip"/>
    <n v="361887"/>
    <x v="0"/>
    <x v="3"/>
    <x v="0"/>
    <n v="361.887"/>
    <n v="2.5585729823077834"/>
  </r>
  <r>
    <s v="A2C_TP_SIT_19_500_1e-04_99_05-03-14-53.zip"/>
    <n v="361887"/>
    <x v="0"/>
    <x v="3"/>
    <x v="0"/>
    <n v="361.887"/>
    <n v="2.5585729823077834"/>
  </r>
  <r>
    <s v="A2C_TP_SIT_19_500_1e-04_99_12-03-08-48.zip"/>
    <n v="361887"/>
    <x v="0"/>
    <x v="3"/>
    <x v="0"/>
    <n v="361.887"/>
    <n v="2.5585729823077834"/>
  </r>
  <r>
    <s v="A2C_TP_SIT_20_500_1e-04_99_12-03-08-48.zip"/>
    <n v="361887"/>
    <x v="0"/>
    <x v="3"/>
    <x v="0"/>
    <n v="361.887"/>
    <n v="2.5585729823077834"/>
  </r>
  <r>
    <s v="A2C_TP_SIT_7_500_1e-04_99_12-03-08-48.zip"/>
    <n v="361888"/>
    <x v="0"/>
    <x v="3"/>
    <x v="0"/>
    <n v="361.88799999999998"/>
    <n v="2.5585741823892505"/>
  </r>
  <r>
    <s v="A2C_TP_SIT_8_500_1e-04_99_12-03-08-48.zip"/>
    <n v="361887"/>
    <x v="0"/>
    <x v="3"/>
    <x v="0"/>
    <n v="361.887"/>
    <n v="2.5585729823077834"/>
  </r>
  <r>
    <s v="A2C_TP_SIT_9_500_1e-04_99_12-03-08-48.zip"/>
    <n v="361888"/>
    <x v="0"/>
    <x v="3"/>
    <x v="0"/>
    <n v="361.88799999999998"/>
    <n v="2.5585741823892505"/>
  </r>
  <r>
    <s v="DQN_MH_SIT_15_500_1e-04_99_05-03-14-53.zip"/>
    <n v="262966"/>
    <x v="1"/>
    <x v="0"/>
    <x v="0"/>
    <n v="262.96600000000001"/>
    <n v="2.4198996003265485"/>
  </r>
  <r>
    <s v="DQN_MH_SIT_17_500_1e-04_99_05-03-14-53.zip"/>
    <n v="262965"/>
    <x v="1"/>
    <x v="0"/>
    <x v="0"/>
    <n v="262.96499999999997"/>
    <n v="2.4198979488000862"/>
  </r>
  <r>
    <s v="DQN_MH_SIT_19_500_1e-04_99_05-03-14-53.zip"/>
    <n v="262964"/>
    <x v="1"/>
    <x v="0"/>
    <x v="0"/>
    <n v="262.964"/>
    <n v="2.4198962972673437"/>
  </r>
  <r>
    <s v="DQN_MH_SIT_19_500_1e-04_99_12-03-08-48.zip"/>
    <n v="262962"/>
    <x v="1"/>
    <x v="0"/>
    <x v="0"/>
    <n v="262.96199999999999"/>
    <n v="2.4198929941830167"/>
  </r>
  <r>
    <s v="DQN_MH_SIT_20_500_1e-04_99_12-03-08-48.zip"/>
    <n v="262955"/>
    <x v="1"/>
    <x v="0"/>
    <x v="0"/>
    <n v="262.95499999999998"/>
    <n v="2.4198814331900333"/>
  </r>
  <r>
    <s v="DQN_MH_SIT_7_500_1e-04_99_12-03-08-48.zip"/>
    <n v="262966"/>
    <x v="1"/>
    <x v="0"/>
    <x v="0"/>
    <n v="262.96600000000001"/>
    <n v="2.4198996003265485"/>
  </r>
  <r>
    <s v="DQN_MH_SIT_8_500_1e-04_99_12-03-08-48.zip"/>
    <n v="262960"/>
    <x v="1"/>
    <x v="0"/>
    <x v="0"/>
    <n v="262.95999999999998"/>
    <n v="2.4198896910735681"/>
  </r>
  <r>
    <s v="DQN_MH_SIT_9_500_1e-04_99_12-03-08-48.zip"/>
    <n v="262970"/>
    <x v="1"/>
    <x v="0"/>
    <x v="0"/>
    <n v="262.97000000000003"/>
    <n v="2.4199062063695944"/>
  </r>
  <r>
    <s v="DQN_NW_SIT_15_500_1e-04_99_05-03-14-53.zip"/>
    <n v="202281"/>
    <x v="1"/>
    <x v="1"/>
    <x v="0"/>
    <n v="202.28100000000001"/>
    <n v="2.3059550919518474"/>
  </r>
  <r>
    <s v="DQN_NW_SIT_17_500_1e-04_99_05-03-14-53.zip"/>
    <n v="202283"/>
    <x v="1"/>
    <x v="1"/>
    <x v="0"/>
    <n v="202.28299999999999"/>
    <n v="2.3059593859026877"/>
  </r>
  <r>
    <s v="DQN_NW_SIT_19_500_1e-04_99_05-03-14-53.zip"/>
    <n v="202277"/>
    <x v="1"/>
    <x v="1"/>
    <x v="0"/>
    <n v="202.27699999999999"/>
    <n v="2.3059465039228004"/>
  </r>
  <r>
    <s v="DQN_NW_SIT_19_500_1e-04_99_12-03-08-48.zip"/>
    <n v="202282"/>
    <x v="1"/>
    <x v="1"/>
    <x v="0"/>
    <n v="202.28200000000001"/>
    <n v="2.3059572389325744"/>
  </r>
  <r>
    <s v="DQN_NW_SIT_20_500_1e-04_99_12-03-08-48.zip"/>
    <n v="202279"/>
    <x v="1"/>
    <x v="1"/>
    <x v="0"/>
    <n v="202.279"/>
    <n v="2.3059507979585523"/>
  </r>
  <r>
    <s v="DQN_NW_SIT_7_500_1e-04_99_12-03-08-48.zip"/>
    <n v="202279"/>
    <x v="1"/>
    <x v="1"/>
    <x v="0"/>
    <n v="202.279"/>
    <n v="2.3059507979585523"/>
  </r>
  <r>
    <s v="DQN_NW_SIT_8_500_1e-04_99_12-03-08-48.zip"/>
    <n v="202281"/>
    <x v="1"/>
    <x v="1"/>
    <x v="0"/>
    <n v="202.28100000000001"/>
    <n v="2.3059550919518474"/>
  </r>
  <r>
    <s v="DQN_NW_SIT_9_500_1e-04_99_12-03-08-48.zip"/>
    <n v="202279"/>
    <x v="1"/>
    <x v="1"/>
    <x v="0"/>
    <n v="202.279"/>
    <n v="2.3059507979585523"/>
  </r>
  <r>
    <s v="DQN_SA_SIT_15_500_1e-04_99_05-03-14-53.zip"/>
    <n v="658814"/>
    <x v="1"/>
    <x v="2"/>
    <x v="0"/>
    <n v="658.81399999999996"/>
    <n v="2.8187628194870062"/>
  </r>
  <r>
    <s v="DQN_SA_SIT_17_500_1e-04_99_05-03-14-53.zip"/>
    <n v="658821"/>
    <x v="1"/>
    <x v="2"/>
    <x v="0"/>
    <n v="658.82100000000003"/>
    <n v="2.8187674339081066"/>
  </r>
  <r>
    <s v="DQN_SA_SIT_19_500_1e-04_99_05-03-14-53.zip"/>
    <n v="658815"/>
    <x v="1"/>
    <x v="2"/>
    <x v="0"/>
    <n v="658.81500000000005"/>
    <n v="2.8187634786930222"/>
  </r>
  <r>
    <s v="DQN_SA_SIT_19_500_1e-04_99_12-03-08-48.zip"/>
    <n v="658821"/>
    <x v="1"/>
    <x v="2"/>
    <x v="0"/>
    <n v="658.82100000000003"/>
    <n v="2.8187674339081066"/>
  </r>
  <r>
    <s v="DQN_SA_SIT_20_500_1e-04_99_12-03-08-48.zip"/>
    <n v="658819"/>
    <x v="1"/>
    <x v="2"/>
    <x v="0"/>
    <n v="658.81899999999996"/>
    <n v="2.8187661155070809"/>
  </r>
  <r>
    <s v="DQN_SA_SIT_7_500_1e-04_99_12-03-08-48.zip"/>
    <n v="658810"/>
    <x v="1"/>
    <x v="2"/>
    <x v="0"/>
    <n v="658.81"/>
    <n v="2.8187601826529356"/>
  </r>
  <r>
    <s v="DQN_SA_SIT_8_500_1e-04_99_12-03-08-48.zip"/>
    <n v="658824"/>
    <x v="1"/>
    <x v="2"/>
    <x v="0"/>
    <n v="658.82399999999996"/>
    <n v="2.8187694115021409"/>
  </r>
  <r>
    <s v="DQN_SA_SIT_9_500_1e-04_99_12-03-08-48.zip"/>
    <n v="658821"/>
    <x v="1"/>
    <x v="2"/>
    <x v="0"/>
    <n v="658.82100000000003"/>
    <n v="2.8187674339081066"/>
  </r>
  <r>
    <s v="DQN_TP_SIT_15_500_1e-04_99_05-03-14-53.zip"/>
    <n v="554856"/>
    <x v="1"/>
    <x v="3"/>
    <x v="0"/>
    <n v="554.85599999999999"/>
    <n v="2.7441802866904452"/>
  </r>
  <r>
    <s v="DQN_TP_SIT_17_500_1e-04_99_05-03-14-53.zip"/>
    <n v="554858"/>
    <x v="1"/>
    <x v="3"/>
    <x v="0"/>
    <n v="554.85799999999995"/>
    <n v="2.7441818521189498"/>
  </r>
  <r>
    <s v="DQN_TP_SIT_19_500_1e-04_99_05-03-14-53.zip"/>
    <n v="554854"/>
    <x v="1"/>
    <x v="3"/>
    <x v="0"/>
    <n v="554.85400000000004"/>
    <n v="2.744178721256298"/>
  </r>
  <r>
    <s v="DQN_TP_SIT_19_500_1e-04_99_12-03-08-48.zip"/>
    <n v="554843"/>
    <x v="1"/>
    <x v="3"/>
    <x v="0"/>
    <n v="554.84299999999996"/>
    <n v="2.7441701112676236"/>
  </r>
  <r>
    <s v="DQN_TP_SIT_20_500_1e-04_99_12-03-08-48.zip"/>
    <n v="554858"/>
    <x v="1"/>
    <x v="3"/>
    <x v="0"/>
    <n v="554.85799999999995"/>
    <n v="2.7441818521189498"/>
  </r>
  <r>
    <s v="DQN_TP_SIT_7_500_1e-04_99_12-03-08-48.zip"/>
    <n v="554853"/>
    <x v="1"/>
    <x v="3"/>
    <x v="0"/>
    <n v="554.85299999999995"/>
    <n v="2.7441779385371086"/>
  </r>
  <r>
    <s v="DQN_TP_SIT_8_500_1e-04_99_12-03-08-48.zip"/>
    <n v="554856"/>
    <x v="1"/>
    <x v="3"/>
    <x v="0"/>
    <n v="554.85599999999999"/>
    <n v="2.7441802866904452"/>
  </r>
  <r>
    <s v="DQN_TP_SIT_9_500_1e-04_99_12-03-08-48.zip"/>
    <n v="554858"/>
    <x v="1"/>
    <x v="3"/>
    <x v="0"/>
    <n v="554.85799999999995"/>
    <n v="2.7441818521189498"/>
  </r>
  <r>
    <s v="PPO_MH_SIT_15_500_1e-04_99_05-03-14-53.zip"/>
    <n v="114043"/>
    <x v="2"/>
    <x v="0"/>
    <x v="0"/>
    <n v="114.04300000000001"/>
    <n v="2.0570686332806076"/>
  </r>
  <r>
    <s v="PPO_MH_SIT_17_500_1e-04_99_05-03-14-53.zip"/>
    <n v="114044"/>
    <x v="2"/>
    <x v="0"/>
    <x v="0"/>
    <n v="114.044"/>
    <n v="2.0570724414282169"/>
  </r>
  <r>
    <s v="PPO_MH_SIT_19_500_1e-04_99_05-03-14-53.zip"/>
    <n v="114043"/>
    <x v="2"/>
    <x v="0"/>
    <x v="0"/>
    <n v="114.04300000000001"/>
    <n v="2.0570686332806076"/>
  </r>
  <r>
    <s v="PPO_MH_SIT_19_500_1e-04_99_12-03-08-48.zip"/>
    <n v="114043"/>
    <x v="2"/>
    <x v="0"/>
    <x v="0"/>
    <n v="114.04300000000001"/>
    <n v="2.0570686332806076"/>
  </r>
  <r>
    <s v="PPO_MH_SIT_20_500_1e-04_99_12-03-08-48.zip"/>
    <n v="114044"/>
    <x v="2"/>
    <x v="0"/>
    <x v="0"/>
    <n v="114.044"/>
    <n v="2.0570724414282169"/>
  </r>
  <r>
    <s v="PPO_MH_SIT_7_500_1e-04_99_12-03-08-48.zip"/>
    <n v="114044"/>
    <x v="2"/>
    <x v="0"/>
    <x v="0"/>
    <n v="114.044"/>
    <n v="2.0570724414282169"/>
  </r>
  <r>
    <s v="PPO_MH_SIT_8_500_1e-04_99_12-03-08-48.zip"/>
    <n v="114044"/>
    <x v="2"/>
    <x v="0"/>
    <x v="0"/>
    <n v="114.044"/>
    <n v="2.0570724414282169"/>
  </r>
  <r>
    <s v="PPO_MH_SIT_9_500_1e-04_99_12-03-08-48.zip"/>
    <n v="114044"/>
    <x v="2"/>
    <x v="0"/>
    <x v="0"/>
    <n v="114.044"/>
    <n v="2.0570724414282169"/>
  </r>
  <r>
    <s v="PPO_NW_SIT_15_500_1e-04_99_05-03-14-53.zip"/>
    <n v="97805"/>
    <x v="2"/>
    <x v="1"/>
    <x v="0"/>
    <n v="97.805000000000007"/>
    <n v="1.9903610574144259"/>
  </r>
  <r>
    <s v="PPO_NW_SIT_17_500_1e-04_99_05-03-14-53.zip"/>
    <n v="97805"/>
    <x v="2"/>
    <x v="1"/>
    <x v="0"/>
    <n v="97.805000000000007"/>
    <n v="1.9903610574144259"/>
  </r>
  <r>
    <s v="PPO_NW_SIT_19_500_1e-04_99_05-03-14-53.zip"/>
    <n v="97804"/>
    <x v="2"/>
    <x v="1"/>
    <x v="0"/>
    <n v="97.804000000000002"/>
    <n v="1.9903566169798659"/>
  </r>
  <r>
    <s v="PPO_NW_SIT_19_500_1e-04_99_12-03-08-48.zip"/>
    <n v="97805"/>
    <x v="2"/>
    <x v="1"/>
    <x v="0"/>
    <n v="97.805000000000007"/>
    <n v="1.9903610574144259"/>
  </r>
  <r>
    <s v="PPO_NW_SIT_20_500_1e-04_99_12-03-08-48.zip"/>
    <n v="97804"/>
    <x v="2"/>
    <x v="1"/>
    <x v="0"/>
    <n v="97.804000000000002"/>
    <n v="1.9903566169798659"/>
  </r>
  <r>
    <s v="PPO_NW_SIT_7_500_1e-04_99_12-03-08-48.zip"/>
    <n v="97805"/>
    <x v="2"/>
    <x v="1"/>
    <x v="0"/>
    <n v="97.805000000000007"/>
    <n v="1.9903610574144259"/>
  </r>
  <r>
    <s v="PPO_NW_SIT_8_500_1e-04_99_12-03-08-48.zip"/>
    <n v="97804"/>
    <x v="2"/>
    <x v="1"/>
    <x v="0"/>
    <n v="97.804000000000002"/>
    <n v="1.9903566169798659"/>
  </r>
  <r>
    <s v="PPO_NW_SIT_9_500_1e-04_99_12-03-08-48.zip"/>
    <n v="97804"/>
    <x v="2"/>
    <x v="1"/>
    <x v="0"/>
    <n v="97.804000000000002"/>
    <n v="1.9903566169798659"/>
  </r>
  <r>
    <s v="PPO_SA_SIT_15_500_1e-04_99_05-03-14-53.zip"/>
    <n v="214827"/>
    <x v="2"/>
    <x v="2"/>
    <x v="0"/>
    <n v="214.827"/>
    <n v="2.3320888636853714"/>
  </r>
  <r>
    <s v="PPO_SA_SIT_17_500_1e-04_99_05-03-14-53.zip"/>
    <n v="214827"/>
    <x v="2"/>
    <x v="2"/>
    <x v="0"/>
    <n v="214.827"/>
    <n v="2.3320888636853714"/>
  </r>
  <r>
    <s v="PPO_SA_SIT_19_500_1e-04_99_05-03-14-53.zip"/>
    <n v="214827"/>
    <x v="2"/>
    <x v="2"/>
    <x v="0"/>
    <n v="214.827"/>
    <n v="2.3320888636853714"/>
  </r>
  <r>
    <s v="PPO_SA_SIT_19_500_1e-04_99_12-03-08-48.zip"/>
    <n v="214827"/>
    <x v="2"/>
    <x v="2"/>
    <x v="0"/>
    <n v="214.827"/>
    <n v="2.3320888636853714"/>
  </r>
  <r>
    <s v="PPO_SA_SIT_20_500_1e-04_99_12-03-08-48.zip"/>
    <n v="214826"/>
    <x v="2"/>
    <x v="2"/>
    <x v="0"/>
    <n v="214.82599999999999"/>
    <n v="2.3320868420796481"/>
  </r>
  <r>
    <s v="PPO_SA_SIT_7_500_1e-04_99_12-03-08-48.zip"/>
    <n v="214826"/>
    <x v="2"/>
    <x v="2"/>
    <x v="0"/>
    <n v="214.82599999999999"/>
    <n v="2.3320868420796481"/>
  </r>
  <r>
    <s v="PPO_SA_SIT_8_500_1e-04_99_12-03-08-48.zip"/>
    <n v="214826"/>
    <x v="2"/>
    <x v="2"/>
    <x v="0"/>
    <n v="214.82599999999999"/>
    <n v="2.3320868420796481"/>
  </r>
  <r>
    <s v="PPO_SA_SIT_9_500_1e-04_99_12-03-08-48.zip"/>
    <n v="214827"/>
    <x v="2"/>
    <x v="2"/>
    <x v="0"/>
    <n v="214.827"/>
    <n v="2.3320888636853714"/>
  </r>
  <r>
    <s v="PPO_TP_SIT_15_500_1e-04_99_05-03-14-53.zip"/>
    <n v="252929"/>
    <x v="2"/>
    <x v="3"/>
    <x v="0"/>
    <n v="252.929"/>
    <n v="2.4029986269637149"/>
  </r>
  <r>
    <s v="PPO_TP_SIT_17_500_1e-04_99_05-03-14-53.zip"/>
    <n v="252929"/>
    <x v="2"/>
    <x v="3"/>
    <x v="0"/>
    <n v="252.929"/>
    <n v="2.4029986269637149"/>
  </r>
  <r>
    <s v="PPO_TP_SIT_19_500_1e-04_99_05-03-14-53.zip"/>
    <n v="252929"/>
    <x v="2"/>
    <x v="3"/>
    <x v="0"/>
    <n v="252.929"/>
    <n v="2.4029986269637149"/>
  </r>
  <r>
    <s v="PPO_TP_SIT_19_500_1e-04_99_12-03-08-48.zip"/>
    <n v="252930"/>
    <x v="2"/>
    <x v="3"/>
    <x v="0"/>
    <n v="252.93"/>
    <n v="2.4030003440211631"/>
  </r>
  <r>
    <s v="PPO_TP_SIT_20_500_1e-04_99_12-03-08-48.zip"/>
    <n v="252930"/>
    <x v="2"/>
    <x v="3"/>
    <x v="0"/>
    <n v="252.93"/>
    <n v="2.4030003440211631"/>
  </r>
  <r>
    <s v="PPO_TP_SIT_7_500_1e-04_99_12-03-08-48.zip"/>
    <n v="252930"/>
    <x v="2"/>
    <x v="3"/>
    <x v="0"/>
    <n v="252.93"/>
    <n v="2.4030003440211631"/>
  </r>
  <r>
    <s v="PPO_TP_SIT_8_500_1e-04_99_12-03-08-48.zip"/>
    <n v="252929"/>
    <x v="2"/>
    <x v="3"/>
    <x v="0"/>
    <n v="252.929"/>
    <n v="2.4029986269637149"/>
  </r>
  <r>
    <s v="PPO_TP_SIT_9_500_1e-04_99_12-03-08-48.zip"/>
    <n v="252930"/>
    <x v="2"/>
    <x v="3"/>
    <x v="0"/>
    <n v="252.93"/>
    <n v="2.4030003440211631"/>
  </r>
  <r>
    <s v="REINFORCE_MH_SIT_15_500_1e-04_99_05-03-14-53.zip"/>
    <n v="113617"/>
    <x v="3"/>
    <x v="0"/>
    <x v="0"/>
    <n v="113.617"/>
    <n v="2.0554433177642766"/>
  </r>
  <r>
    <s v="REINFORCE_MH_SIT_17_500_1e-04_99_05-03-14-53.zip"/>
    <n v="113617"/>
    <x v="3"/>
    <x v="0"/>
    <x v="0"/>
    <n v="113.617"/>
    <n v="2.0554433177642766"/>
  </r>
  <r>
    <s v="REINFORCE_MH_SIT_19_500_1e-04_99_05-03-14-53.zip"/>
    <n v="113618"/>
    <x v="3"/>
    <x v="0"/>
    <x v="0"/>
    <n v="113.61799999999999"/>
    <n v="2.0554471401902403"/>
  </r>
  <r>
    <s v="REINFORCE_MH_SIT_19_500_1e-04_99_12-03-10-34.zip"/>
    <n v="113618"/>
    <x v="3"/>
    <x v="0"/>
    <x v="0"/>
    <n v="113.61799999999999"/>
    <n v="2.0554471401902403"/>
  </r>
  <r>
    <s v="REINFORCE_MH_SIT_20_500_1e-04_99_12-03-10-34.zip"/>
    <n v="113618"/>
    <x v="3"/>
    <x v="0"/>
    <x v="0"/>
    <n v="113.61799999999999"/>
    <n v="2.0554471401902403"/>
  </r>
  <r>
    <s v="REINFORCE_MH_SIT_7_500_1e-04_99_12-03-10-34.zip"/>
    <n v="113617"/>
    <x v="3"/>
    <x v="0"/>
    <x v="0"/>
    <n v="113.617"/>
    <n v="2.0554433177642766"/>
  </r>
  <r>
    <s v="REINFORCE_MH_SIT_8_500_1e-04_99_12-03-10-34.zip"/>
    <n v="113618"/>
    <x v="3"/>
    <x v="0"/>
    <x v="0"/>
    <n v="113.61799999999999"/>
    <n v="2.0554471401902403"/>
  </r>
  <r>
    <s v="REINFORCE_MH_SIT_9_500_1e-04_99_12-03-10-34.zip"/>
    <n v="113617"/>
    <x v="3"/>
    <x v="0"/>
    <x v="0"/>
    <n v="113.617"/>
    <n v="2.0554433177642766"/>
  </r>
  <r>
    <s v="REINFORCE_NW_SIT_15_500_1e-04_99_05-03-14-53.zip"/>
    <n v="97379"/>
    <x v="3"/>
    <x v="1"/>
    <x v="0"/>
    <n v="97.379000000000005"/>
    <n v="1.988465310395624"/>
  </r>
  <r>
    <s v="REINFORCE_NW_SIT_17_500_1e-04_99_05-03-14-53.zip"/>
    <n v="97378"/>
    <x v="3"/>
    <x v="1"/>
    <x v="0"/>
    <n v="97.378"/>
    <n v="1.9884608505355736"/>
  </r>
  <r>
    <s v="REINFORCE_NW_SIT_19_500_1e-04_99_05-03-14-53.zip"/>
    <n v="97378"/>
    <x v="3"/>
    <x v="1"/>
    <x v="0"/>
    <n v="97.378"/>
    <n v="1.9884608505355736"/>
  </r>
  <r>
    <s v="REINFORCE_NW_SIT_19_500_1e-04_99_12-03-08-48.zip"/>
    <n v="97379"/>
    <x v="3"/>
    <x v="1"/>
    <x v="0"/>
    <n v="97.379000000000005"/>
    <n v="1.988465310395624"/>
  </r>
  <r>
    <s v="REINFORCE_NW_SIT_20_500_1e-04_99_12-03-08-48.zip"/>
    <n v="97379"/>
    <x v="3"/>
    <x v="1"/>
    <x v="0"/>
    <n v="97.379000000000005"/>
    <n v="1.988465310395624"/>
  </r>
  <r>
    <s v="REINFORCE_NW_SIT_7_500_1e-04_99_12-03-08-48.zip"/>
    <n v="97379"/>
    <x v="3"/>
    <x v="1"/>
    <x v="0"/>
    <n v="97.379000000000005"/>
    <n v="1.988465310395624"/>
  </r>
  <r>
    <s v="REINFORCE_NW_SIT_8_500_1e-04_99_12-03-08-48.zip"/>
    <n v="97378"/>
    <x v="3"/>
    <x v="1"/>
    <x v="0"/>
    <n v="97.378"/>
    <n v="1.9884608505355736"/>
  </r>
  <r>
    <s v="REINFORCE_NW_SIT_9_500_1e-04_99_12-03-08-48.zip"/>
    <n v="97379"/>
    <x v="3"/>
    <x v="1"/>
    <x v="0"/>
    <n v="97.379000000000005"/>
    <n v="1.988465310395624"/>
  </r>
  <r>
    <s v="REINFORCE_SA_SIT_15_500_1e-04_99_05-03-14-53.zip"/>
    <n v="214400"/>
    <x v="3"/>
    <x v="2"/>
    <x v="0"/>
    <n v="214.4"/>
    <n v="2.3312247810207323"/>
  </r>
  <r>
    <s v="REINFORCE_SA_SIT_17_500_1e-04_99_05-03-14-53.zip"/>
    <n v="214400"/>
    <x v="3"/>
    <x v="2"/>
    <x v="0"/>
    <n v="214.4"/>
    <n v="2.3312247810207323"/>
  </r>
  <r>
    <s v="REINFORCE_SA_SIT_19_500_1e-04_99_05-03-14-53.zip"/>
    <n v="214401"/>
    <x v="3"/>
    <x v="2"/>
    <x v="0"/>
    <n v="214.40100000000001"/>
    <n v="2.3312268066432562"/>
  </r>
  <r>
    <s v="REINFORCE_SA_SIT_19_500_1e-04_99_12-03-08-48.zip"/>
    <n v="214401"/>
    <x v="3"/>
    <x v="2"/>
    <x v="0"/>
    <n v="214.40100000000001"/>
    <n v="2.3312268066432562"/>
  </r>
  <r>
    <s v="REINFORCE_SA_SIT_20_500_1e-04_99_12-03-08-48.zip"/>
    <n v="214400"/>
    <x v="3"/>
    <x v="2"/>
    <x v="0"/>
    <n v="214.4"/>
    <n v="2.3312247810207323"/>
  </r>
  <r>
    <s v="REINFORCE_SA_SIT_7_500_1e-04_99_12-03-08-48.zip"/>
    <n v="214400"/>
    <x v="3"/>
    <x v="2"/>
    <x v="0"/>
    <n v="214.4"/>
    <n v="2.3312247810207323"/>
  </r>
  <r>
    <s v="REINFORCE_SA_SIT_8_500_1e-04_99_12-03-08-48.zip"/>
    <n v="214401"/>
    <x v="3"/>
    <x v="2"/>
    <x v="0"/>
    <n v="214.40100000000001"/>
    <n v="2.3312268066432562"/>
  </r>
  <r>
    <s v="REINFORCE_SA_SIT_9_500_1e-04_99_12-03-08-48.zip"/>
    <n v="214401"/>
    <x v="3"/>
    <x v="2"/>
    <x v="0"/>
    <n v="214.40100000000001"/>
    <n v="2.3312268066432562"/>
  </r>
  <r>
    <s v="REINFORCE_TP_SIT_15_500_1e-04_99_05-03-14-53.zip"/>
    <n v="252503"/>
    <x v="3"/>
    <x v="3"/>
    <x v="0"/>
    <n v="252.50299999999999"/>
    <n v="2.4022665423584657"/>
  </r>
  <r>
    <s v="REINFORCE_TP_SIT_17_500_1e-04_99_05-03-14-53.zip"/>
    <n v="252503"/>
    <x v="3"/>
    <x v="3"/>
    <x v="0"/>
    <n v="252.50299999999999"/>
    <n v="2.4022665423584657"/>
  </r>
  <r>
    <s v="REINFORCE_TP_SIT_19_500_1e-04_99_05-03-14-53.zip"/>
    <n v="252503"/>
    <x v="3"/>
    <x v="3"/>
    <x v="0"/>
    <n v="252.50299999999999"/>
    <n v="2.4022665423584657"/>
  </r>
  <r>
    <s v="REINFORCE_TP_SIT_19_500_1e-04_99_12-03-10-52.zip"/>
    <n v="252503"/>
    <x v="3"/>
    <x v="3"/>
    <x v="0"/>
    <n v="252.50299999999999"/>
    <n v="2.4022665423584657"/>
  </r>
  <r>
    <s v="REINFORCE_TP_SIT_20_500_1e-04_99_12-03-10-52.zip"/>
    <n v="252503"/>
    <x v="3"/>
    <x v="3"/>
    <x v="0"/>
    <n v="252.50299999999999"/>
    <n v="2.4022665423584657"/>
  </r>
  <r>
    <s v="REINFORCE_TP_SIT_7_500_1e-04_99_12-03-10-52.zip"/>
    <n v="252503"/>
    <x v="3"/>
    <x v="3"/>
    <x v="0"/>
    <n v="252.50299999999999"/>
    <n v="2.4022665423584657"/>
  </r>
  <r>
    <s v="REINFORCE_TP_SIT_8_500_1e-04_99_12-03-10-52.zip"/>
    <n v="252503"/>
    <x v="3"/>
    <x v="3"/>
    <x v="0"/>
    <n v="252.50299999999999"/>
    <n v="2.4022665423584657"/>
  </r>
  <r>
    <s v="REINFORCE_TP_SIT_9_500_1e-04_99_12-03-10-52.zip"/>
    <n v="252504"/>
    <x v="3"/>
    <x v="3"/>
    <x v="0"/>
    <n v="252.50399999999999"/>
    <n v="2.4022682623127709"/>
  </r>
  <r>
    <m/>
    <m/>
    <x v="4"/>
    <x v="4"/>
    <x v="1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1BCBD4-B9C3-E445-831A-F802B4856376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24" firstHeaderRow="0" firstDataRow="1" firstDataCol="1" rowPageCount="1" colPageCount="1"/>
  <pivotFields count="7">
    <pivotField showAll="0"/>
    <pivotField dataField="1" showAll="0"/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axis="axisPage" multipleItemSelectionAllowed="1" showAll="0">
      <items count="3">
        <item x="0"/>
        <item h="1" x="1"/>
        <item t="default"/>
      </items>
    </pivotField>
    <pivotField dataField="1" showAll="0"/>
    <pivotField dataField="1" showAll="0"/>
  </pivotFields>
  <rowFields count="2">
    <field x="2"/>
    <field x="3"/>
  </rowFields>
  <rowItems count="2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4" hier="-1"/>
  </pageFields>
  <dataFields count="3">
    <dataField name="Count of LOG_10" fld="6" subtotal="count" baseField="0" baseItem="0"/>
    <dataField name="Average of KB" fld="5" subtotal="average" baseField="0" baseItem="0"/>
    <dataField name="Average of SIZE" fld="1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5C67BD-69FD-8E4C-BC84-509F19A02ED0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26" firstHeaderRow="0" firstDataRow="1" firstDataCol="1"/>
  <pivotFields count="7">
    <pivotField showAll="0"/>
    <pivotField dataField="1" showAll="0"/>
    <pivotField axis="axisRow" showAll="0">
      <items count="6">
        <item x="0"/>
        <item x="1"/>
        <item x="2"/>
        <item x="3"/>
        <item x="4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dataField="1" showAll="0"/>
    <pivotField dataField="1" showAll="0"/>
  </pivotFields>
  <rowFields count="2">
    <field x="2"/>
    <field x="3"/>
  </rowFields>
  <rowItems count="23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SIZE" fld="1" subtotal="average" baseField="0" baseItem="0"/>
    <dataField name="Average of KB" fld="5" subtotal="average" baseField="0" baseItem="0"/>
    <dataField name="Average of LOG_10" fld="6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F9E93-E569-EA4C-95EA-C2B0D0CCA0D7}">
  <sheetPr>
    <tabColor rgb="FFFFC000"/>
  </sheetPr>
  <dimension ref="A1:K44"/>
  <sheetViews>
    <sheetView tabSelected="1" zoomScale="110" zoomScaleNormal="110" workbookViewId="0">
      <selection activeCell="C7" sqref="C7"/>
    </sheetView>
  </sheetViews>
  <sheetFormatPr baseColWidth="10" defaultRowHeight="16" x14ac:dyDescent="0.2"/>
  <cols>
    <col min="3" max="3" width="42" bestFit="1" customWidth="1"/>
    <col min="4" max="4" width="18.6640625" customWidth="1"/>
    <col min="6" max="6" width="69.1640625" customWidth="1"/>
    <col min="10" max="10" width="19.33203125" bestFit="1" customWidth="1"/>
  </cols>
  <sheetData>
    <row r="1" spans="1:11" ht="20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</row>
    <row r="2" spans="1:11" ht="20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20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20" x14ac:dyDescent="0.25">
      <c r="A4" s="11"/>
      <c r="B4" s="11"/>
      <c r="C4" s="11" t="s">
        <v>366</v>
      </c>
      <c r="D4" s="11"/>
      <c r="E4" s="11"/>
      <c r="F4" s="11"/>
      <c r="G4" s="11"/>
      <c r="H4" s="11"/>
      <c r="I4" s="11"/>
      <c r="J4" s="11"/>
      <c r="K4" s="11"/>
    </row>
    <row r="5" spans="1:11" ht="20" x14ac:dyDescent="0.25">
      <c r="A5" s="11"/>
      <c r="B5" s="11"/>
      <c r="C5" s="11"/>
      <c r="D5" s="11"/>
      <c r="E5" s="11"/>
      <c r="F5" s="11"/>
      <c r="G5" s="11"/>
      <c r="H5" s="11"/>
      <c r="I5" s="11"/>
      <c r="J5" s="11" t="s">
        <v>393</v>
      </c>
      <c r="K5" s="11" t="s">
        <v>395</v>
      </c>
    </row>
    <row r="6" spans="1:11" ht="20" x14ac:dyDescent="0.25">
      <c r="A6" s="11"/>
      <c r="B6" s="11"/>
      <c r="C6" s="12" t="s">
        <v>236</v>
      </c>
      <c r="D6" s="11" t="s">
        <v>397</v>
      </c>
      <c r="E6" s="11"/>
      <c r="F6" s="12" t="s">
        <v>140</v>
      </c>
      <c r="G6" s="11" t="s">
        <v>397</v>
      </c>
      <c r="H6" s="11"/>
      <c r="I6" s="11"/>
      <c r="J6" s="15" t="s">
        <v>369</v>
      </c>
      <c r="K6" s="11" t="s">
        <v>394</v>
      </c>
    </row>
    <row r="7" spans="1:11" ht="20" x14ac:dyDescent="0.25">
      <c r="A7" s="11"/>
      <c r="B7" s="11"/>
      <c r="C7" s="11" t="s">
        <v>377</v>
      </c>
      <c r="D7" s="11">
        <v>5</v>
      </c>
      <c r="E7" s="11"/>
      <c r="F7" s="11" t="s">
        <v>378</v>
      </c>
      <c r="G7" s="11">
        <v>7</v>
      </c>
      <c r="H7" s="11"/>
      <c r="I7" s="11"/>
      <c r="J7" s="15" t="s">
        <v>370</v>
      </c>
      <c r="K7" s="11" t="s">
        <v>391</v>
      </c>
    </row>
    <row r="8" spans="1:11" ht="20" x14ac:dyDescent="0.25">
      <c r="A8" s="11"/>
      <c r="B8" s="11"/>
      <c r="C8" s="11" t="s">
        <v>367</v>
      </c>
      <c r="D8" s="11">
        <v>4</v>
      </c>
      <c r="E8" s="11"/>
      <c r="F8" s="11" t="s">
        <v>367</v>
      </c>
      <c r="G8" s="11">
        <v>4</v>
      </c>
      <c r="H8" s="11"/>
      <c r="I8" s="11"/>
      <c r="J8" s="15" t="s">
        <v>371</v>
      </c>
      <c r="K8" s="11" t="s">
        <v>392</v>
      </c>
    </row>
    <row r="9" spans="1:11" ht="21" x14ac:dyDescent="0.25">
      <c r="A9" s="11"/>
      <c r="B9" s="11"/>
      <c r="C9" s="11" t="s">
        <v>368</v>
      </c>
      <c r="D9" s="11">
        <v>4</v>
      </c>
      <c r="E9" s="11"/>
      <c r="F9" s="11" t="s">
        <v>368</v>
      </c>
      <c r="G9" s="11">
        <v>4</v>
      </c>
      <c r="H9" s="11"/>
      <c r="I9" s="11"/>
      <c r="J9" s="11"/>
      <c r="K9" s="16" t="s">
        <v>380</v>
      </c>
    </row>
    <row r="10" spans="1:11" ht="20" x14ac:dyDescent="0.25">
      <c r="A10" s="11"/>
      <c r="B10" s="11"/>
      <c r="C10" s="11" t="s">
        <v>376</v>
      </c>
      <c r="D10" s="11">
        <f>D9*D8*D7</f>
        <v>80</v>
      </c>
      <c r="E10" s="11"/>
      <c r="F10" s="11" t="s">
        <v>376</v>
      </c>
      <c r="G10" s="11">
        <f>G9*G8*G7</f>
        <v>112</v>
      </c>
      <c r="H10" s="11"/>
      <c r="I10" s="11"/>
      <c r="J10" s="14" t="s">
        <v>372</v>
      </c>
      <c r="K10" s="11" t="s">
        <v>381</v>
      </c>
    </row>
    <row r="11" spans="1:11" ht="20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4" t="s">
        <v>373</v>
      </c>
      <c r="K11" s="11" t="s">
        <v>382</v>
      </c>
    </row>
    <row r="12" spans="1:11" ht="20" x14ac:dyDescent="0.25">
      <c r="A12" s="11"/>
      <c r="B12" s="11"/>
      <c r="C12" s="11" t="s">
        <v>379</v>
      </c>
      <c r="D12" s="11">
        <v>5</v>
      </c>
      <c r="E12" s="11"/>
      <c r="F12" s="11" t="s">
        <v>396</v>
      </c>
      <c r="G12" s="11">
        <v>14</v>
      </c>
      <c r="H12" s="11"/>
      <c r="I12" s="11"/>
      <c r="J12" s="14" t="s">
        <v>374</v>
      </c>
      <c r="K12" s="11" t="s">
        <v>383</v>
      </c>
    </row>
    <row r="13" spans="1:11" ht="20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4" t="s">
        <v>375</v>
      </c>
      <c r="K13" s="11" t="s">
        <v>384</v>
      </c>
    </row>
    <row r="14" spans="1:11" ht="20" x14ac:dyDescent="0.2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 t="s">
        <v>385</v>
      </c>
    </row>
    <row r="15" spans="1:11" ht="20" x14ac:dyDescent="0.2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 t="s">
        <v>386</v>
      </c>
    </row>
    <row r="16" spans="1:11" ht="20" x14ac:dyDescent="0.25">
      <c r="A16" s="11"/>
      <c r="B16" s="11"/>
      <c r="C16" s="14"/>
      <c r="D16" s="11"/>
      <c r="E16" s="11"/>
      <c r="F16" s="11"/>
      <c r="G16" s="11"/>
      <c r="H16" s="11"/>
      <c r="I16" s="11"/>
      <c r="J16" s="11"/>
      <c r="K16" s="11" t="s">
        <v>387</v>
      </c>
    </row>
    <row r="17" spans="1:11" ht="20" x14ac:dyDescent="0.25">
      <c r="A17" s="11"/>
      <c r="B17" s="11"/>
      <c r="C17" s="14"/>
      <c r="D17" s="11"/>
      <c r="E17" s="11"/>
      <c r="F17" s="11"/>
      <c r="G17" s="11"/>
      <c r="H17" s="11"/>
      <c r="I17" s="11"/>
      <c r="J17" s="11"/>
      <c r="K17" s="11" t="s">
        <v>388</v>
      </c>
    </row>
    <row r="18" spans="1:11" ht="20" x14ac:dyDescent="0.25">
      <c r="A18" s="11"/>
      <c r="B18" s="11"/>
      <c r="C18" s="12" t="s">
        <v>236</v>
      </c>
      <c r="D18" t="s">
        <v>398</v>
      </c>
      <c r="E18" s="11" t="s">
        <v>397</v>
      </c>
      <c r="F18" s="12" t="s">
        <v>140</v>
      </c>
      <c r="G18" s="11" t="s">
        <v>397</v>
      </c>
      <c r="H18" s="11"/>
      <c r="I18" s="11"/>
      <c r="J18" s="11"/>
      <c r="K18" s="11" t="s">
        <v>389</v>
      </c>
    </row>
    <row r="19" spans="1:11" ht="20" x14ac:dyDescent="0.25">
      <c r="A19" s="11"/>
      <c r="B19" s="11"/>
      <c r="C19" s="11" t="s">
        <v>399</v>
      </c>
      <c r="D19" t="s">
        <v>400</v>
      </c>
      <c r="E19" s="11">
        <v>5</v>
      </c>
      <c r="F19" s="11" t="s">
        <v>378</v>
      </c>
      <c r="G19" s="11">
        <v>7</v>
      </c>
      <c r="H19" s="11"/>
      <c r="I19" s="11"/>
      <c r="J19" s="11"/>
      <c r="K19" s="11" t="s">
        <v>390</v>
      </c>
    </row>
    <row r="20" spans="1:11" ht="20" x14ac:dyDescent="0.25">
      <c r="A20" s="11"/>
      <c r="B20" s="11"/>
      <c r="C20" s="11" t="s">
        <v>401</v>
      </c>
      <c r="D20" t="s">
        <v>402</v>
      </c>
      <c r="E20" s="11">
        <v>4</v>
      </c>
      <c r="F20" s="11" t="s">
        <v>367</v>
      </c>
      <c r="G20" s="11">
        <v>4</v>
      </c>
      <c r="H20" s="11"/>
      <c r="I20" s="11"/>
      <c r="J20" s="11"/>
      <c r="K20" s="11"/>
    </row>
    <row r="21" spans="1:11" ht="20" x14ac:dyDescent="0.25">
      <c r="A21" s="11"/>
      <c r="B21" s="11"/>
      <c r="C21" s="11" t="s">
        <v>368</v>
      </c>
      <c r="D21" t="s">
        <v>403</v>
      </c>
      <c r="E21" s="11">
        <v>4</v>
      </c>
      <c r="F21" s="11" t="s">
        <v>368</v>
      </c>
      <c r="G21" s="11">
        <v>4</v>
      </c>
      <c r="H21" s="11"/>
      <c r="I21" s="11"/>
      <c r="J21" s="11"/>
      <c r="K21" s="11"/>
    </row>
    <row r="22" spans="1:11" ht="20" x14ac:dyDescent="0.25">
      <c r="A22" s="11"/>
      <c r="B22" s="11"/>
      <c r="C22" s="11" t="s">
        <v>376</v>
      </c>
      <c r="E22" s="11">
        <f>E21*E20*E19</f>
        <v>80</v>
      </c>
      <c r="F22" s="11" t="s">
        <v>376</v>
      </c>
      <c r="G22" s="11">
        <f>G21*G20*G19</f>
        <v>112</v>
      </c>
      <c r="H22" s="11">
        <f>G22*G24</f>
        <v>1568</v>
      </c>
      <c r="I22" s="11"/>
      <c r="J22" s="11"/>
      <c r="K22" s="11"/>
    </row>
    <row r="23" spans="1:11" ht="20" x14ac:dyDescent="0.25">
      <c r="A23" s="11"/>
      <c r="B23" s="11"/>
      <c r="C23" s="11"/>
      <c r="E23" s="11"/>
      <c r="F23" s="11"/>
      <c r="G23" s="11"/>
      <c r="H23" s="11"/>
      <c r="I23" s="11"/>
      <c r="J23" s="11"/>
      <c r="K23" s="11"/>
    </row>
    <row r="24" spans="1:11" ht="20" x14ac:dyDescent="0.25">
      <c r="A24" s="11"/>
      <c r="B24" s="11"/>
      <c r="C24" s="11" t="s">
        <v>404</v>
      </c>
      <c r="D24" t="s">
        <v>400</v>
      </c>
      <c r="E24" s="11">
        <v>5</v>
      </c>
      <c r="F24" s="11" t="s">
        <v>396</v>
      </c>
      <c r="G24" s="11">
        <v>14</v>
      </c>
      <c r="H24" s="11"/>
      <c r="I24" s="11"/>
      <c r="J24" s="11"/>
      <c r="K24" s="11"/>
    </row>
    <row r="25" spans="1:11" ht="20" x14ac:dyDescent="0.25">
      <c r="A25" s="11"/>
      <c r="B25" s="11"/>
      <c r="C25" s="11"/>
      <c r="D25" s="11"/>
      <c r="E25" s="11">
        <f>E22*E24</f>
        <v>400</v>
      </c>
      <c r="F25" s="11"/>
      <c r="H25" s="11"/>
      <c r="I25" s="11"/>
      <c r="J25" s="11"/>
      <c r="K25" s="11"/>
    </row>
    <row r="26" spans="1:11" ht="20" x14ac:dyDescent="0.25">
      <c r="A26" s="11"/>
      <c r="B26" s="11"/>
      <c r="C26" s="11"/>
      <c r="D26" s="11"/>
      <c r="E26" s="11"/>
      <c r="F26" s="11"/>
      <c r="H26" s="11"/>
      <c r="I26" s="11"/>
      <c r="J26" s="11"/>
      <c r="K26" s="11"/>
    </row>
    <row r="27" spans="1:11" ht="20" x14ac:dyDescent="0.25">
      <c r="A27" s="11"/>
      <c r="B27" s="11"/>
      <c r="C27" s="11"/>
      <c r="D27" s="11"/>
      <c r="E27" s="11"/>
      <c r="F27" s="11"/>
      <c r="H27" s="11"/>
      <c r="I27" s="11"/>
      <c r="J27" s="11"/>
      <c r="K27" s="11"/>
    </row>
    <row r="28" spans="1:11" ht="20" x14ac:dyDescent="0.25">
      <c r="A28" s="11"/>
      <c r="B28" s="11"/>
      <c r="C28" s="11"/>
      <c r="D28" s="11"/>
      <c r="E28" s="11"/>
      <c r="F28" s="11"/>
      <c r="H28" s="11"/>
      <c r="I28" s="11"/>
      <c r="J28" s="11"/>
      <c r="K28" s="11"/>
    </row>
    <row r="29" spans="1:11" ht="20" x14ac:dyDescent="0.25">
      <c r="A29" s="11"/>
      <c r="B29" s="11"/>
      <c r="C29" s="11"/>
      <c r="D29" s="11"/>
      <c r="E29" s="11"/>
      <c r="F29" s="11"/>
      <c r="H29" s="11"/>
      <c r="I29" s="11"/>
      <c r="J29" s="11"/>
      <c r="K29" s="11"/>
    </row>
    <row r="30" spans="1:11" ht="20" x14ac:dyDescent="0.25">
      <c r="A30" s="11"/>
      <c r="B30" s="11"/>
      <c r="C30" s="11"/>
      <c r="D30" s="11"/>
      <c r="E30" s="11"/>
      <c r="F30" s="11"/>
      <c r="H30" s="11"/>
      <c r="I30" s="11"/>
      <c r="J30" s="11"/>
      <c r="K30" s="11"/>
    </row>
    <row r="31" spans="1:11" ht="20" x14ac:dyDescent="0.25">
      <c r="A31" s="11"/>
      <c r="B31" s="11"/>
      <c r="C31" s="11"/>
      <c r="D31" s="11"/>
      <c r="E31" s="11"/>
      <c r="F31" s="11"/>
      <c r="H31" s="11"/>
      <c r="I31" s="11"/>
      <c r="J31" s="11"/>
      <c r="K31" s="11"/>
    </row>
    <row r="32" spans="1:11" ht="20" x14ac:dyDescent="0.25">
      <c r="A32" s="11"/>
      <c r="B32" s="11"/>
      <c r="C32" s="11"/>
      <c r="D32" s="11"/>
      <c r="E32" s="11"/>
      <c r="F32" s="11"/>
      <c r="H32" s="11"/>
      <c r="I32" s="11"/>
      <c r="J32" s="11"/>
      <c r="K32" s="11"/>
    </row>
    <row r="33" spans="1:11" ht="20" x14ac:dyDescent="0.25">
      <c r="A33" s="11"/>
      <c r="B33" s="11"/>
      <c r="C33" s="11"/>
      <c r="D33" s="11"/>
      <c r="E33" s="11"/>
      <c r="F33" s="11"/>
      <c r="H33" s="11"/>
      <c r="I33" s="11"/>
      <c r="J33" s="11"/>
      <c r="K33" s="11"/>
    </row>
    <row r="34" spans="1:11" ht="20" x14ac:dyDescent="0.25">
      <c r="A34" s="11"/>
      <c r="B34" s="11"/>
      <c r="C34" s="11"/>
      <c r="D34" s="11"/>
      <c r="E34" s="11"/>
      <c r="F34" s="11"/>
      <c r="H34" s="11"/>
      <c r="I34" s="11"/>
      <c r="J34" s="11"/>
      <c r="K34" s="11"/>
    </row>
    <row r="35" spans="1:11" ht="20" x14ac:dyDescent="0.25">
      <c r="A35" s="11"/>
      <c r="B35" s="11"/>
      <c r="C35" s="11"/>
      <c r="D35" s="11"/>
      <c r="E35" s="11"/>
      <c r="F35" s="11"/>
      <c r="H35" s="11"/>
      <c r="I35" s="11"/>
      <c r="J35" s="11"/>
      <c r="K35" s="11"/>
    </row>
    <row r="36" spans="1:11" ht="20" x14ac:dyDescent="0.25">
      <c r="A36" s="11"/>
      <c r="B36" s="11"/>
      <c r="C36" s="11"/>
      <c r="D36" s="11"/>
      <c r="E36" s="11"/>
      <c r="F36" s="11"/>
      <c r="H36" s="11"/>
      <c r="I36" s="11"/>
      <c r="J36" s="11"/>
      <c r="K36" s="11"/>
    </row>
    <row r="37" spans="1:11" ht="20" x14ac:dyDescent="0.25">
      <c r="A37" s="11"/>
      <c r="B37" s="11"/>
      <c r="C37" s="11"/>
      <c r="D37" s="11"/>
      <c r="E37" s="11"/>
      <c r="F37" s="11"/>
      <c r="H37" s="11"/>
      <c r="I37" s="11"/>
      <c r="J37" s="11"/>
      <c r="K37" s="11"/>
    </row>
    <row r="38" spans="1:11" ht="20" x14ac:dyDescent="0.25">
      <c r="A38" s="11"/>
      <c r="B38" s="11"/>
      <c r="C38" s="11"/>
      <c r="D38" s="11"/>
      <c r="E38" s="11"/>
      <c r="F38" s="11"/>
      <c r="H38" s="11"/>
      <c r="I38" s="11"/>
      <c r="J38" s="11"/>
      <c r="K38" s="11"/>
    </row>
    <row r="39" spans="1:11" ht="20" x14ac:dyDescent="0.25">
      <c r="A39" s="11"/>
      <c r="B39" s="11"/>
      <c r="C39" s="11"/>
      <c r="D39" s="11"/>
      <c r="E39" s="11"/>
      <c r="F39" s="11"/>
      <c r="H39" s="11"/>
      <c r="I39" s="11"/>
      <c r="J39" s="11"/>
      <c r="K39" s="11"/>
    </row>
    <row r="40" spans="1:11" ht="20" x14ac:dyDescent="0.25">
      <c r="A40" s="11"/>
      <c r="B40" s="11"/>
      <c r="C40" s="11"/>
      <c r="D40" s="11"/>
      <c r="E40" s="11"/>
      <c r="F40" s="11"/>
      <c r="H40" s="11"/>
      <c r="I40" s="11"/>
      <c r="J40" s="11"/>
      <c r="K40" s="11"/>
    </row>
    <row r="41" spans="1:11" ht="20" x14ac:dyDescent="0.25">
      <c r="A41" s="11"/>
      <c r="B41" s="11"/>
      <c r="C41" s="11"/>
      <c r="D41" s="11"/>
      <c r="E41" s="11"/>
      <c r="F41" s="11"/>
      <c r="H41" s="11"/>
      <c r="I41" s="11"/>
      <c r="J41" s="11"/>
      <c r="K41" s="11"/>
    </row>
    <row r="42" spans="1:11" ht="20" x14ac:dyDescent="0.25">
      <c r="A42" s="11"/>
      <c r="B42" s="11"/>
      <c r="C42" s="11"/>
      <c r="D42" s="11"/>
      <c r="E42" s="11"/>
      <c r="F42" s="11"/>
      <c r="H42" s="11"/>
      <c r="I42" s="11"/>
      <c r="J42" s="11"/>
      <c r="K42" s="11"/>
    </row>
    <row r="43" spans="1:11" ht="20" x14ac:dyDescent="0.25">
      <c r="A43" s="11"/>
      <c r="B43" s="11"/>
      <c r="C43" s="11"/>
      <c r="D43" s="11"/>
      <c r="E43" s="11"/>
      <c r="F43" s="11"/>
      <c r="H43" s="11"/>
      <c r="I43" s="11"/>
      <c r="J43" s="11"/>
      <c r="K43" s="11"/>
    </row>
    <row r="44" spans="1:11" ht="20" x14ac:dyDescent="0.25">
      <c r="A44" s="11"/>
      <c r="B44" s="11"/>
      <c r="C44" s="11"/>
      <c r="D44" s="11"/>
      <c r="E44" s="11"/>
      <c r="F44" s="11"/>
      <c r="H44" s="11"/>
      <c r="I44" s="11"/>
      <c r="J44" s="11"/>
      <c r="K44" s="11"/>
    </row>
  </sheetData>
  <sortState xmlns:xlrd2="http://schemas.microsoft.com/office/spreadsheetml/2017/richdata2" ref="G24:G36">
    <sortCondition ref="G24:G36"/>
  </sortState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70067-3499-D742-9B1F-27656755B4DB}">
  <sheetPr filterMode="1">
    <tabColor theme="4" tint="0.59999389629810485"/>
  </sheetPr>
  <dimension ref="A1:H129"/>
  <sheetViews>
    <sheetView zoomScale="150" zoomScaleNormal="150" workbookViewId="0">
      <selection activeCell="F98" sqref="F98:F105"/>
    </sheetView>
  </sheetViews>
  <sheetFormatPr baseColWidth="10" defaultRowHeight="16" x14ac:dyDescent="0.2"/>
  <cols>
    <col min="1" max="1" width="43.33203125" customWidth="1"/>
    <col min="2" max="2" width="13" customWidth="1"/>
    <col min="3" max="3" width="11" bestFit="1" customWidth="1"/>
  </cols>
  <sheetData>
    <row r="1" spans="1:8" x14ac:dyDescent="0.2">
      <c r="A1" t="s">
        <v>128</v>
      </c>
      <c r="B1" t="s">
        <v>152</v>
      </c>
      <c r="C1" t="s">
        <v>149</v>
      </c>
      <c r="D1" t="s">
        <v>150</v>
      </c>
      <c r="E1" t="s">
        <v>151</v>
      </c>
      <c r="F1" t="s">
        <v>365</v>
      </c>
      <c r="G1" t="s">
        <v>153</v>
      </c>
      <c r="H1" t="s">
        <v>154</v>
      </c>
    </row>
    <row r="2" spans="1:8" x14ac:dyDescent="0.2">
      <c r="A2" t="s">
        <v>0</v>
      </c>
      <c r="B2">
        <v>214372</v>
      </c>
      <c r="C2" t="s">
        <v>134</v>
      </c>
      <c r="D2" t="s">
        <v>139</v>
      </c>
      <c r="E2" t="s">
        <v>140</v>
      </c>
      <c r="F2" t="str">
        <f>MID(A2,FIND("SIT_",A2)+4,2)</f>
        <v>15</v>
      </c>
      <c r="G2">
        <f>B2/10^3</f>
        <v>214.37200000000001</v>
      </c>
      <c r="H2">
        <f>LOG(G2)</f>
        <v>2.3311680597539026</v>
      </c>
    </row>
    <row r="3" spans="1:8" x14ac:dyDescent="0.2">
      <c r="A3" t="s">
        <v>1</v>
      </c>
      <c r="B3">
        <v>214372</v>
      </c>
      <c r="C3" t="s">
        <v>134</v>
      </c>
      <c r="D3" t="s">
        <v>139</v>
      </c>
      <c r="E3" t="s">
        <v>140</v>
      </c>
      <c r="F3" t="str">
        <f t="shared" ref="F3:F66" si="0">MID(A3,FIND("SIT_",A3)+4,2)</f>
        <v>17</v>
      </c>
      <c r="G3">
        <f t="shared" ref="G3:G66" si="1">B3/10^3</f>
        <v>214.37200000000001</v>
      </c>
      <c r="H3">
        <f t="shared" ref="H3:H66" si="2">LOG(G3)</f>
        <v>2.3311680597539026</v>
      </c>
    </row>
    <row r="4" spans="1:8" x14ac:dyDescent="0.2">
      <c r="A4" t="s">
        <v>2</v>
      </c>
      <c r="B4">
        <v>214372</v>
      </c>
      <c r="C4" t="s">
        <v>134</v>
      </c>
      <c r="D4" t="s">
        <v>139</v>
      </c>
      <c r="E4" t="s">
        <v>140</v>
      </c>
      <c r="F4" t="str">
        <f t="shared" si="0"/>
        <v>19</v>
      </c>
      <c r="G4">
        <f t="shared" si="1"/>
        <v>214.37200000000001</v>
      </c>
      <c r="H4">
        <f t="shared" si="2"/>
        <v>2.3311680597539026</v>
      </c>
    </row>
    <row r="5" spans="1:8" x14ac:dyDescent="0.2">
      <c r="A5" t="s">
        <v>3</v>
      </c>
      <c r="B5">
        <v>214372</v>
      </c>
      <c r="C5" t="s">
        <v>134</v>
      </c>
      <c r="D5" t="s">
        <v>139</v>
      </c>
      <c r="E5" t="s">
        <v>140</v>
      </c>
      <c r="F5" t="str">
        <f t="shared" si="0"/>
        <v>19</v>
      </c>
      <c r="G5">
        <f t="shared" si="1"/>
        <v>214.37200000000001</v>
      </c>
      <c r="H5">
        <f t="shared" si="2"/>
        <v>2.3311680597539026</v>
      </c>
    </row>
    <row r="6" spans="1:8" x14ac:dyDescent="0.2">
      <c r="A6" t="s">
        <v>4</v>
      </c>
      <c r="B6">
        <v>214372</v>
      </c>
      <c r="C6" t="s">
        <v>134</v>
      </c>
      <c r="D6" t="s">
        <v>139</v>
      </c>
      <c r="E6" t="s">
        <v>140</v>
      </c>
      <c r="F6" t="str">
        <f t="shared" si="0"/>
        <v>20</v>
      </c>
      <c r="G6">
        <f t="shared" si="1"/>
        <v>214.37200000000001</v>
      </c>
      <c r="H6">
        <f t="shared" si="2"/>
        <v>2.3311680597539026</v>
      </c>
    </row>
    <row r="7" spans="1:8" x14ac:dyDescent="0.2">
      <c r="A7" t="s">
        <v>5</v>
      </c>
      <c r="B7">
        <v>214382</v>
      </c>
      <c r="C7" t="s">
        <v>134</v>
      </c>
      <c r="D7" t="s">
        <v>139</v>
      </c>
      <c r="E7" t="s">
        <v>140</v>
      </c>
      <c r="F7" t="str">
        <f t="shared" si="0"/>
        <v>7_</v>
      </c>
      <c r="G7">
        <f t="shared" si="1"/>
        <v>214.38200000000001</v>
      </c>
      <c r="H7">
        <f t="shared" si="2"/>
        <v>2.3311883181996307</v>
      </c>
    </row>
    <row r="8" spans="1:8" x14ac:dyDescent="0.2">
      <c r="A8" t="s">
        <v>6</v>
      </c>
      <c r="B8">
        <v>214372</v>
      </c>
      <c r="C8" t="s">
        <v>134</v>
      </c>
      <c r="D8" t="s">
        <v>139</v>
      </c>
      <c r="E8" t="s">
        <v>140</v>
      </c>
      <c r="F8" t="str">
        <f t="shared" si="0"/>
        <v>8_</v>
      </c>
      <c r="G8">
        <f t="shared" si="1"/>
        <v>214.37200000000001</v>
      </c>
      <c r="H8">
        <f t="shared" si="2"/>
        <v>2.3311680597539026</v>
      </c>
    </row>
    <row r="9" spans="1:8" x14ac:dyDescent="0.2">
      <c r="A9" t="s">
        <v>7</v>
      </c>
      <c r="B9">
        <v>214370</v>
      </c>
      <c r="C9" t="s">
        <v>134</v>
      </c>
      <c r="D9" t="s">
        <v>139</v>
      </c>
      <c r="E9" t="s">
        <v>140</v>
      </c>
      <c r="F9" t="str">
        <f t="shared" si="0"/>
        <v>9_</v>
      </c>
      <c r="G9">
        <f t="shared" si="1"/>
        <v>214.37</v>
      </c>
      <c r="H9">
        <f t="shared" si="2"/>
        <v>2.3311640079513554</v>
      </c>
    </row>
    <row r="10" spans="1:8" x14ac:dyDescent="0.2">
      <c r="A10" t="s">
        <v>8</v>
      </c>
      <c r="B10">
        <v>182595</v>
      </c>
      <c r="C10" t="s">
        <v>134</v>
      </c>
      <c r="D10" t="s">
        <v>143</v>
      </c>
      <c r="E10" t="s">
        <v>140</v>
      </c>
      <c r="F10" t="str">
        <f t="shared" si="0"/>
        <v>15</v>
      </c>
      <c r="G10">
        <f t="shared" si="1"/>
        <v>182.595</v>
      </c>
      <c r="H10">
        <f t="shared" si="2"/>
        <v>2.2614888810726503</v>
      </c>
    </row>
    <row r="11" spans="1:8" x14ac:dyDescent="0.2">
      <c r="A11" t="s">
        <v>9</v>
      </c>
      <c r="B11">
        <v>182595</v>
      </c>
      <c r="C11" t="s">
        <v>134</v>
      </c>
      <c r="D11" t="s">
        <v>143</v>
      </c>
      <c r="E11" t="s">
        <v>140</v>
      </c>
      <c r="F11" t="str">
        <f t="shared" si="0"/>
        <v>17</v>
      </c>
      <c r="G11">
        <f t="shared" si="1"/>
        <v>182.595</v>
      </c>
      <c r="H11">
        <f t="shared" si="2"/>
        <v>2.2614888810726503</v>
      </c>
    </row>
    <row r="12" spans="1:8" x14ac:dyDescent="0.2">
      <c r="A12" t="s">
        <v>10</v>
      </c>
      <c r="B12">
        <v>182595</v>
      </c>
      <c r="C12" t="s">
        <v>134</v>
      </c>
      <c r="D12" t="s">
        <v>143</v>
      </c>
      <c r="E12" t="s">
        <v>140</v>
      </c>
      <c r="F12" t="str">
        <f t="shared" si="0"/>
        <v>19</v>
      </c>
      <c r="G12">
        <f t="shared" si="1"/>
        <v>182.595</v>
      </c>
      <c r="H12">
        <f t="shared" si="2"/>
        <v>2.2614888810726503</v>
      </c>
    </row>
    <row r="13" spans="1:8" x14ac:dyDescent="0.2">
      <c r="A13" t="s">
        <v>11</v>
      </c>
      <c r="B13">
        <v>182595</v>
      </c>
      <c r="C13" t="s">
        <v>134</v>
      </c>
      <c r="D13" t="s">
        <v>143</v>
      </c>
      <c r="E13" t="s">
        <v>140</v>
      </c>
      <c r="F13" t="str">
        <f t="shared" si="0"/>
        <v>19</v>
      </c>
      <c r="G13">
        <f t="shared" si="1"/>
        <v>182.595</v>
      </c>
      <c r="H13">
        <f t="shared" si="2"/>
        <v>2.2614888810726503</v>
      </c>
    </row>
    <row r="14" spans="1:8" x14ac:dyDescent="0.2">
      <c r="A14" t="s">
        <v>12</v>
      </c>
      <c r="B14">
        <v>182594</v>
      </c>
      <c r="C14" t="s">
        <v>134</v>
      </c>
      <c r="D14" t="s">
        <v>143</v>
      </c>
      <c r="E14" t="s">
        <v>140</v>
      </c>
      <c r="F14" t="str">
        <f t="shared" si="0"/>
        <v>20</v>
      </c>
      <c r="G14">
        <f t="shared" si="1"/>
        <v>182.59399999999999</v>
      </c>
      <c r="H14">
        <f t="shared" si="2"/>
        <v>2.2614865026084474</v>
      </c>
    </row>
    <row r="15" spans="1:8" x14ac:dyDescent="0.2">
      <c r="A15" t="s">
        <v>13</v>
      </c>
      <c r="B15">
        <v>182595</v>
      </c>
      <c r="C15" t="s">
        <v>134</v>
      </c>
      <c r="D15" t="s">
        <v>143</v>
      </c>
      <c r="E15" t="s">
        <v>140</v>
      </c>
      <c r="F15" t="str">
        <f t="shared" si="0"/>
        <v>7_</v>
      </c>
      <c r="G15">
        <f t="shared" si="1"/>
        <v>182.595</v>
      </c>
      <c r="H15">
        <f t="shared" si="2"/>
        <v>2.2614888810726503</v>
      </c>
    </row>
    <row r="16" spans="1:8" x14ac:dyDescent="0.2">
      <c r="A16" t="s">
        <v>14</v>
      </c>
      <c r="B16">
        <v>182595</v>
      </c>
      <c r="C16" t="s">
        <v>134</v>
      </c>
      <c r="D16" t="s">
        <v>143</v>
      </c>
      <c r="E16" t="s">
        <v>140</v>
      </c>
      <c r="F16" t="str">
        <f t="shared" si="0"/>
        <v>8_</v>
      </c>
      <c r="G16">
        <f t="shared" si="1"/>
        <v>182.595</v>
      </c>
      <c r="H16">
        <f t="shared" si="2"/>
        <v>2.2614888810726503</v>
      </c>
    </row>
    <row r="17" spans="1:8" x14ac:dyDescent="0.2">
      <c r="A17" t="s">
        <v>15</v>
      </c>
      <c r="B17">
        <v>182595</v>
      </c>
      <c r="C17" t="s">
        <v>134</v>
      </c>
      <c r="D17" t="s">
        <v>143</v>
      </c>
      <c r="E17" t="s">
        <v>140</v>
      </c>
      <c r="F17" t="str">
        <f t="shared" si="0"/>
        <v>9_</v>
      </c>
      <c r="G17">
        <f t="shared" si="1"/>
        <v>182.595</v>
      </c>
      <c r="H17">
        <f t="shared" si="2"/>
        <v>2.2614888810726503</v>
      </c>
    </row>
    <row r="18" spans="1:8" x14ac:dyDescent="0.2">
      <c r="A18" t="s">
        <v>16</v>
      </c>
      <c r="B18">
        <v>415326</v>
      </c>
      <c r="C18" t="s">
        <v>134</v>
      </c>
      <c r="D18" t="s">
        <v>144</v>
      </c>
      <c r="E18" t="s">
        <v>140</v>
      </c>
      <c r="F18" t="str">
        <f t="shared" si="0"/>
        <v>15</v>
      </c>
      <c r="G18">
        <f t="shared" si="1"/>
        <v>415.32600000000002</v>
      </c>
      <c r="H18">
        <f t="shared" si="2"/>
        <v>2.6183891194149234</v>
      </c>
    </row>
    <row r="19" spans="1:8" x14ac:dyDescent="0.2">
      <c r="A19" t="s">
        <v>17</v>
      </c>
      <c r="B19">
        <v>415327</v>
      </c>
      <c r="C19" t="s">
        <v>134</v>
      </c>
      <c r="D19" t="s">
        <v>144</v>
      </c>
      <c r="E19" t="s">
        <v>140</v>
      </c>
      <c r="F19" t="str">
        <f t="shared" si="0"/>
        <v>17</v>
      </c>
      <c r="G19">
        <f t="shared" si="1"/>
        <v>415.327</v>
      </c>
      <c r="H19">
        <f t="shared" si="2"/>
        <v>2.618390165084973</v>
      </c>
    </row>
    <row r="20" spans="1:8" x14ac:dyDescent="0.2">
      <c r="A20" t="s">
        <v>18</v>
      </c>
      <c r="B20">
        <v>415327</v>
      </c>
      <c r="C20" t="s">
        <v>134</v>
      </c>
      <c r="D20" t="s">
        <v>144</v>
      </c>
      <c r="E20" t="s">
        <v>140</v>
      </c>
      <c r="F20" t="str">
        <f t="shared" si="0"/>
        <v>19</v>
      </c>
      <c r="G20">
        <f t="shared" si="1"/>
        <v>415.327</v>
      </c>
      <c r="H20">
        <f t="shared" si="2"/>
        <v>2.618390165084973</v>
      </c>
    </row>
    <row r="21" spans="1:8" x14ac:dyDescent="0.2">
      <c r="A21" t="s">
        <v>19</v>
      </c>
      <c r="B21">
        <v>415324</v>
      </c>
      <c r="C21" t="s">
        <v>134</v>
      </c>
      <c r="D21" t="s">
        <v>144</v>
      </c>
      <c r="E21" t="s">
        <v>140</v>
      </c>
      <c r="F21" t="str">
        <f t="shared" si="0"/>
        <v>19</v>
      </c>
      <c r="G21">
        <f t="shared" si="1"/>
        <v>415.32400000000001</v>
      </c>
      <c r="H21">
        <f t="shared" si="2"/>
        <v>2.6183870280672705</v>
      </c>
    </row>
    <row r="22" spans="1:8" x14ac:dyDescent="0.2">
      <c r="A22" t="s">
        <v>20</v>
      </c>
      <c r="B22">
        <v>415328</v>
      </c>
      <c r="C22" t="s">
        <v>134</v>
      </c>
      <c r="D22" t="s">
        <v>144</v>
      </c>
      <c r="E22" t="s">
        <v>140</v>
      </c>
      <c r="F22" t="str">
        <f t="shared" si="0"/>
        <v>20</v>
      </c>
      <c r="G22">
        <f t="shared" si="1"/>
        <v>415.32799999999997</v>
      </c>
      <c r="H22">
        <f t="shared" si="2"/>
        <v>2.6183912107525047</v>
      </c>
    </row>
    <row r="23" spans="1:8" x14ac:dyDescent="0.2">
      <c r="A23" t="s">
        <v>21</v>
      </c>
      <c r="B23">
        <v>415327</v>
      </c>
      <c r="C23" t="s">
        <v>134</v>
      </c>
      <c r="D23" t="s">
        <v>144</v>
      </c>
      <c r="E23" t="s">
        <v>140</v>
      </c>
      <c r="F23" t="str">
        <f t="shared" si="0"/>
        <v>7_</v>
      </c>
      <c r="G23">
        <f t="shared" si="1"/>
        <v>415.327</v>
      </c>
      <c r="H23">
        <f t="shared" si="2"/>
        <v>2.618390165084973</v>
      </c>
    </row>
    <row r="24" spans="1:8" x14ac:dyDescent="0.2">
      <c r="A24" t="s">
        <v>22</v>
      </c>
      <c r="B24">
        <v>415338</v>
      </c>
      <c r="C24" t="s">
        <v>134</v>
      </c>
      <c r="D24" t="s">
        <v>144</v>
      </c>
      <c r="E24" t="s">
        <v>140</v>
      </c>
      <c r="F24" t="str">
        <f t="shared" si="0"/>
        <v>8_</v>
      </c>
      <c r="G24">
        <f t="shared" si="1"/>
        <v>415.33800000000002</v>
      </c>
      <c r="H24">
        <f t="shared" si="2"/>
        <v>2.6184016672893544</v>
      </c>
    </row>
    <row r="25" spans="1:8" x14ac:dyDescent="0.2">
      <c r="A25" t="s">
        <v>23</v>
      </c>
      <c r="B25">
        <v>415324</v>
      </c>
      <c r="C25" t="s">
        <v>134</v>
      </c>
      <c r="D25" t="s">
        <v>144</v>
      </c>
      <c r="E25" t="s">
        <v>140</v>
      </c>
      <c r="F25" t="str">
        <f t="shared" si="0"/>
        <v>9_</v>
      </c>
      <c r="G25">
        <f t="shared" si="1"/>
        <v>415.32400000000001</v>
      </c>
      <c r="H25">
        <f t="shared" si="2"/>
        <v>2.6183870280672705</v>
      </c>
    </row>
    <row r="26" spans="1:8" x14ac:dyDescent="0.2">
      <c r="A26" t="s">
        <v>24</v>
      </c>
      <c r="B26">
        <v>361887</v>
      </c>
      <c r="C26" t="s">
        <v>134</v>
      </c>
      <c r="D26" t="s">
        <v>145</v>
      </c>
      <c r="E26" t="s">
        <v>140</v>
      </c>
      <c r="F26" t="str">
        <f t="shared" si="0"/>
        <v>15</v>
      </c>
      <c r="G26">
        <f t="shared" si="1"/>
        <v>361.887</v>
      </c>
      <c r="H26">
        <f t="shared" si="2"/>
        <v>2.5585729823077834</v>
      </c>
    </row>
    <row r="27" spans="1:8" x14ac:dyDescent="0.2">
      <c r="A27" t="s">
        <v>25</v>
      </c>
      <c r="B27">
        <v>361887</v>
      </c>
      <c r="C27" t="s">
        <v>134</v>
      </c>
      <c r="D27" t="s">
        <v>145</v>
      </c>
      <c r="E27" t="s">
        <v>140</v>
      </c>
      <c r="F27" t="str">
        <f t="shared" si="0"/>
        <v>17</v>
      </c>
      <c r="G27">
        <f t="shared" si="1"/>
        <v>361.887</v>
      </c>
      <c r="H27">
        <f t="shared" si="2"/>
        <v>2.5585729823077834</v>
      </c>
    </row>
    <row r="28" spans="1:8" x14ac:dyDescent="0.2">
      <c r="A28" t="s">
        <v>26</v>
      </c>
      <c r="B28">
        <v>361887</v>
      </c>
      <c r="C28" t="s">
        <v>134</v>
      </c>
      <c r="D28" t="s">
        <v>145</v>
      </c>
      <c r="E28" t="s">
        <v>140</v>
      </c>
      <c r="F28" t="str">
        <f t="shared" si="0"/>
        <v>19</v>
      </c>
      <c r="G28">
        <f t="shared" si="1"/>
        <v>361.887</v>
      </c>
      <c r="H28">
        <f t="shared" si="2"/>
        <v>2.5585729823077834</v>
      </c>
    </row>
    <row r="29" spans="1:8" x14ac:dyDescent="0.2">
      <c r="A29" t="s">
        <v>27</v>
      </c>
      <c r="B29">
        <v>361887</v>
      </c>
      <c r="C29" t="s">
        <v>134</v>
      </c>
      <c r="D29" t="s">
        <v>145</v>
      </c>
      <c r="E29" t="s">
        <v>140</v>
      </c>
      <c r="F29" t="str">
        <f t="shared" si="0"/>
        <v>19</v>
      </c>
      <c r="G29">
        <f t="shared" si="1"/>
        <v>361.887</v>
      </c>
      <c r="H29">
        <f t="shared" si="2"/>
        <v>2.5585729823077834</v>
      </c>
    </row>
    <row r="30" spans="1:8" x14ac:dyDescent="0.2">
      <c r="A30" t="s">
        <v>28</v>
      </c>
      <c r="B30">
        <v>361887</v>
      </c>
      <c r="C30" t="s">
        <v>134</v>
      </c>
      <c r="D30" t="s">
        <v>145</v>
      </c>
      <c r="E30" t="s">
        <v>140</v>
      </c>
      <c r="F30" t="str">
        <f t="shared" si="0"/>
        <v>20</v>
      </c>
      <c r="G30">
        <f t="shared" si="1"/>
        <v>361.887</v>
      </c>
      <c r="H30">
        <f t="shared" si="2"/>
        <v>2.5585729823077834</v>
      </c>
    </row>
    <row r="31" spans="1:8" x14ac:dyDescent="0.2">
      <c r="A31" t="s">
        <v>29</v>
      </c>
      <c r="B31">
        <v>361888</v>
      </c>
      <c r="C31" t="s">
        <v>134</v>
      </c>
      <c r="D31" t="s">
        <v>145</v>
      </c>
      <c r="E31" t="s">
        <v>140</v>
      </c>
      <c r="F31" t="str">
        <f t="shared" si="0"/>
        <v>7_</v>
      </c>
      <c r="G31">
        <f t="shared" si="1"/>
        <v>361.88799999999998</v>
      </c>
      <c r="H31">
        <f t="shared" si="2"/>
        <v>2.5585741823892505</v>
      </c>
    </row>
    <row r="32" spans="1:8" x14ac:dyDescent="0.2">
      <c r="A32" t="s">
        <v>30</v>
      </c>
      <c r="B32">
        <v>361887</v>
      </c>
      <c r="C32" t="s">
        <v>134</v>
      </c>
      <c r="D32" t="s">
        <v>145</v>
      </c>
      <c r="E32" t="s">
        <v>140</v>
      </c>
      <c r="F32" t="str">
        <f t="shared" si="0"/>
        <v>8_</v>
      </c>
      <c r="G32">
        <f t="shared" si="1"/>
        <v>361.887</v>
      </c>
      <c r="H32">
        <f t="shared" si="2"/>
        <v>2.5585729823077834</v>
      </c>
    </row>
    <row r="33" spans="1:8" x14ac:dyDescent="0.2">
      <c r="A33" t="s">
        <v>31</v>
      </c>
      <c r="B33">
        <v>361888</v>
      </c>
      <c r="C33" t="s">
        <v>134</v>
      </c>
      <c r="D33" t="s">
        <v>145</v>
      </c>
      <c r="E33" t="s">
        <v>140</v>
      </c>
      <c r="F33" t="str">
        <f t="shared" si="0"/>
        <v>9_</v>
      </c>
      <c r="G33">
        <f t="shared" si="1"/>
        <v>361.88799999999998</v>
      </c>
      <c r="H33">
        <f t="shared" si="2"/>
        <v>2.5585741823892505</v>
      </c>
    </row>
    <row r="34" spans="1:8" hidden="1" x14ac:dyDescent="0.2">
      <c r="A34" t="s">
        <v>32</v>
      </c>
      <c r="B34">
        <v>262966</v>
      </c>
      <c r="C34" t="s">
        <v>135</v>
      </c>
      <c r="D34" t="s">
        <v>139</v>
      </c>
      <c r="E34" t="s">
        <v>140</v>
      </c>
      <c r="F34" t="str">
        <f t="shared" si="0"/>
        <v>15</v>
      </c>
      <c r="G34">
        <f t="shared" si="1"/>
        <v>262.96600000000001</v>
      </c>
      <c r="H34">
        <f t="shared" si="2"/>
        <v>2.4198996003265485</v>
      </c>
    </row>
    <row r="35" spans="1:8" hidden="1" x14ac:dyDescent="0.2">
      <c r="A35" t="s">
        <v>33</v>
      </c>
      <c r="B35">
        <v>262965</v>
      </c>
      <c r="C35" t="s">
        <v>135</v>
      </c>
      <c r="D35" t="s">
        <v>139</v>
      </c>
      <c r="E35" t="s">
        <v>140</v>
      </c>
      <c r="F35" t="str">
        <f t="shared" si="0"/>
        <v>17</v>
      </c>
      <c r="G35">
        <f t="shared" si="1"/>
        <v>262.96499999999997</v>
      </c>
      <c r="H35">
        <f t="shared" si="2"/>
        <v>2.4198979488000862</v>
      </c>
    </row>
    <row r="36" spans="1:8" hidden="1" x14ac:dyDescent="0.2">
      <c r="A36" t="s">
        <v>34</v>
      </c>
      <c r="B36">
        <v>262964</v>
      </c>
      <c r="C36" t="s">
        <v>135</v>
      </c>
      <c r="D36" t="s">
        <v>139</v>
      </c>
      <c r="E36" t="s">
        <v>140</v>
      </c>
      <c r="F36" t="str">
        <f t="shared" si="0"/>
        <v>19</v>
      </c>
      <c r="G36">
        <f t="shared" si="1"/>
        <v>262.964</v>
      </c>
      <c r="H36">
        <f t="shared" si="2"/>
        <v>2.4198962972673437</v>
      </c>
    </row>
    <row r="37" spans="1:8" hidden="1" x14ac:dyDescent="0.2">
      <c r="A37" t="s">
        <v>35</v>
      </c>
      <c r="B37">
        <v>262962</v>
      </c>
      <c r="C37" t="s">
        <v>135</v>
      </c>
      <c r="D37" t="s">
        <v>139</v>
      </c>
      <c r="E37" t="s">
        <v>140</v>
      </c>
      <c r="F37" t="str">
        <f t="shared" si="0"/>
        <v>19</v>
      </c>
      <c r="G37">
        <f t="shared" si="1"/>
        <v>262.96199999999999</v>
      </c>
      <c r="H37">
        <f t="shared" si="2"/>
        <v>2.4198929941830167</v>
      </c>
    </row>
    <row r="38" spans="1:8" hidden="1" x14ac:dyDescent="0.2">
      <c r="A38" t="s">
        <v>36</v>
      </c>
      <c r="B38">
        <v>262955</v>
      </c>
      <c r="C38" t="s">
        <v>135</v>
      </c>
      <c r="D38" t="s">
        <v>139</v>
      </c>
      <c r="E38" t="s">
        <v>140</v>
      </c>
      <c r="F38" t="str">
        <f t="shared" si="0"/>
        <v>20</v>
      </c>
      <c r="G38">
        <f t="shared" si="1"/>
        <v>262.95499999999998</v>
      </c>
      <c r="H38">
        <f t="shared" si="2"/>
        <v>2.4198814331900333</v>
      </c>
    </row>
    <row r="39" spans="1:8" hidden="1" x14ac:dyDescent="0.2">
      <c r="A39" t="s">
        <v>37</v>
      </c>
      <c r="B39">
        <v>262966</v>
      </c>
      <c r="C39" t="s">
        <v>135</v>
      </c>
      <c r="D39" t="s">
        <v>139</v>
      </c>
      <c r="E39" t="s">
        <v>140</v>
      </c>
      <c r="F39" t="str">
        <f t="shared" si="0"/>
        <v>7_</v>
      </c>
      <c r="G39">
        <f t="shared" si="1"/>
        <v>262.96600000000001</v>
      </c>
      <c r="H39">
        <f t="shared" si="2"/>
        <v>2.4198996003265485</v>
      </c>
    </row>
    <row r="40" spans="1:8" hidden="1" x14ac:dyDescent="0.2">
      <c r="A40" t="s">
        <v>38</v>
      </c>
      <c r="B40">
        <v>262960</v>
      </c>
      <c r="C40" t="s">
        <v>135</v>
      </c>
      <c r="D40" t="s">
        <v>139</v>
      </c>
      <c r="E40" t="s">
        <v>140</v>
      </c>
      <c r="F40" t="str">
        <f t="shared" si="0"/>
        <v>8_</v>
      </c>
      <c r="G40">
        <f t="shared" si="1"/>
        <v>262.95999999999998</v>
      </c>
      <c r="H40">
        <f t="shared" si="2"/>
        <v>2.4198896910735681</v>
      </c>
    </row>
    <row r="41" spans="1:8" hidden="1" x14ac:dyDescent="0.2">
      <c r="A41" t="s">
        <v>39</v>
      </c>
      <c r="B41">
        <v>262970</v>
      </c>
      <c r="C41" t="s">
        <v>135</v>
      </c>
      <c r="D41" t="s">
        <v>139</v>
      </c>
      <c r="E41" t="s">
        <v>140</v>
      </c>
      <c r="F41" t="str">
        <f t="shared" si="0"/>
        <v>9_</v>
      </c>
      <c r="G41">
        <f t="shared" si="1"/>
        <v>262.97000000000003</v>
      </c>
      <c r="H41">
        <f t="shared" si="2"/>
        <v>2.4199062063695944</v>
      </c>
    </row>
    <row r="42" spans="1:8" hidden="1" x14ac:dyDescent="0.2">
      <c r="A42" t="s">
        <v>40</v>
      </c>
      <c r="B42">
        <v>202281</v>
      </c>
      <c r="C42" t="s">
        <v>135</v>
      </c>
      <c r="D42" t="s">
        <v>143</v>
      </c>
      <c r="E42" t="s">
        <v>140</v>
      </c>
      <c r="F42" t="str">
        <f t="shared" si="0"/>
        <v>15</v>
      </c>
      <c r="G42">
        <f t="shared" si="1"/>
        <v>202.28100000000001</v>
      </c>
      <c r="H42">
        <f t="shared" si="2"/>
        <v>2.3059550919518474</v>
      </c>
    </row>
    <row r="43" spans="1:8" hidden="1" x14ac:dyDescent="0.2">
      <c r="A43" t="s">
        <v>41</v>
      </c>
      <c r="B43">
        <v>202283</v>
      </c>
      <c r="C43" t="s">
        <v>135</v>
      </c>
      <c r="D43" t="s">
        <v>143</v>
      </c>
      <c r="E43" t="s">
        <v>140</v>
      </c>
      <c r="F43" t="str">
        <f t="shared" si="0"/>
        <v>17</v>
      </c>
      <c r="G43">
        <f t="shared" si="1"/>
        <v>202.28299999999999</v>
      </c>
      <c r="H43">
        <f t="shared" si="2"/>
        <v>2.3059593859026877</v>
      </c>
    </row>
    <row r="44" spans="1:8" hidden="1" x14ac:dyDescent="0.2">
      <c r="A44" t="s">
        <v>42</v>
      </c>
      <c r="B44">
        <v>202277</v>
      </c>
      <c r="C44" t="s">
        <v>135</v>
      </c>
      <c r="D44" t="s">
        <v>143</v>
      </c>
      <c r="E44" t="s">
        <v>140</v>
      </c>
      <c r="F44" t="str">
        <f t="shared" si="0"/>
        <v>19</v>
      </c>
      <c r="G44">
        <f t="shared" si="1"/>
        <v>202.27699999999999</v>
      </c>
      <c r="H44">
        <f t="shared" si="2"/>
        <v>2.3059465039228004</v>
      </c>
    </row>
    <row r="45" spans="1:8" hidden="1" x14ac:dyDescent="0.2">
      <c r="A45" t="s">
        <v>43</v>
      </c>
      <c r="B45">
        <v>202282</v>
      </c>
      <c r="C45" t="s">
        <v>135</v>
      </c>
      <c r="D45" t="s">
        <v>143</v>
      </c>
      <c r="E45" t="s">
        <v>140</v>
      </c>
      <c r="F45" t="str">
        <f t="shared" si="0"/>
        <v>19</v>
      </c>
      <c r="G45">
        <f t="shared" si="1"/>
        <v>202.28200000000001</v>
      </c>
      <c r="H45">
        <f t="shared" si="2"/>
        <v>2.3059572389325744</v>
      </c>
    </row>
    <row r="46" spans="1:8" hidden="1" x14ac:dyDescent="0.2">
      <c r="A46" t="s">
        <v>44</v>
      </c>
      <c r="B46">
        <v>202279</v>
      </c>
      <c r="C46" t="s">
        <v>135</v>
      </c>
      <c r="D46" t="s">
        <v>143</v>
      </c>
      <c r="E46" t="s">
        <v>140</v>
      </c>
      <c r="F46" t="str">
        <f t="shared" si="0"/>
        <v>20</v>
      </c>
      <c r="G46">
        <f t="shared" si="1"/>
        <v>202.279</v>
      </c>
      <c r="H46">
        <f t="shared" si="2"/>
        <v>2.3059507979585523</v>
      </c>
    </row>
    <row r="47" spans="1:8" hidden="1" x14ac:dyDescent="0.2">
      <c r="A47" t="s">
        <v>45</v>
      </c>
      <c r="B47">
        <v>202279</v>
      </c>
      <c r="C47" t="s">
        <v>135</v>
      </c>
      <c r="D47" t="s">
        <v>143</v>
      </c>
      <c r="E47" t="s">
        <v>140</v>
      </c>
      <c r="F47" t="str">
        <f t="shared" si="0"/>
        <v>7_</v>
      </c>
      <c r="G47">
        <f t="shared" si="1"/>
        <v>202.279</v>
      </c>
      <c r="H47">
        <f t="shared" si="2"/>
        <v>2.3059507979585523</v>
      </c>
    </row>
    <row r="48" spans="1:8" hidden="1" x14ac:dyDescent="0.2">
      <c r="A48" t="s">
        <v>46</v>
      </c>
      <c r="B48">
        <v>202281</v>
      </c>
      <c r="C48" t="s">
        <v>135</v>
      </c>
      <c r="D48" t="s">
        <v>143</v>
      </c>
      <c r="E48" t="s">
        <v>140</v>
      </c>
      <c r="F48" t="str">
        <f t="shared" si="0"/>
        <v>8_</v>
      </c>
      <c r="G48">
        <f t="shared" si="1"/>
        <v>202.28100000000001</v>
      </c>
      <c r="H48">
        <f t="shared" si="2"/>
        <v>2.3059550919518474</v>
      </c>
    </row>
    <row r="49" spans="1:8" hidden="1" x14ac:dyDescent="0.2">
      <c r="A49" t="s">
        <v>47</v>
      </c>
      <c r="B49">
        <v>202279</v>
      </c>
      <c r="C49" t="s">
        <v>135</v>
      </c>
      <c r="D49" t="s">
        <v>143</v>
      </c>
      <c r="E49" t="s">
        <v>140</v>
      </c>
      <c r="F49" t="str">
        <f t="shared" si="0"/>
        <v>9_</v>
      </c>
      <c r="G49">
        <f t="shared" si="1"/>
        <v>202.279</v>
      </c>
      <c r="H49">
        <f t="shared" si="2"/>
        <v>2.3059507979585523</v>
      </c>
    </row>
    <row r="50" spans="1:8" hidden="1" x14ac:dyDescent="0.2">
      <c r="A50" t="s">
        <v>48</v>
      </c>
      <c r="B50">
        <v>658814</v>
      </c>
      <c r="C50" t="s">
        <v>135</v>
      </c>
      <c r="D50" t="s">
        <v>144</v>
      </c>
      <c r="E50" t="s">
        <v>140</v>
      </c>
      <c r="F50" t="str">
        <f t="shared" si="0"/>
        <v>15</v>
      </c>
      <c r="G50">
        <f t="shared" si="1"/>
        <v>658.81399999999996</v>
      </c>
      <c r="H50">
        <f t="shared" si="2"/>
        <v>2.8187628194870062</v>
      </c>
    </row>
    <row r="51" spans="1:8" hidden="1" x14ac:dyDescent="0.2">
      <c r="A51" t="s">
        <v>49</v>
      </c>
      <c r="B51">
        <v>658821</v>
      </c>
      <c r="C51" t="s">
        <v>135</v>
      </c>
      <c r="D51" t="s">
        <v>144</v>
      </c>
      <c r="E51" t="s">
        <v>140</v>
      </c>
      <c r="F51" t="str">
        <f t="shared" si="0"/>
        <v>17</v>
      </c>
      <c r="G51">
        <f t="shared" si="1"/>
        <v>658.82100000000003</v>
      </c>
      <c r="H51">
        <f t="shared" si="2"/>
        <v>2.8187674339081066</v>
      </c>
    </row>
    <row r="52" spans="1:8" hidden="1" x14ac:dyDescent="0.2">
      <c r="A52" t="s">
        <v>50</v>
      </c>
      <c r="B52">
        <v>658815</v>
      </c>
      <c r="C52" t="s">
        <v>135</v>
      </c>
      <c r="D52" t="s">
        <v>144</v>
      </c>
      <c r="E52" t="s">
        <v>140</v>
      </c>
      <c r="F52" t="str">
        <f t="shared" si="0"/>
        <v>19</v>
      </c>
      <c r="G52">
        <f t="shared" si="1"/>
        <v>658.81500000000005</v>
      </c>
      <c r="H52">
        <f t="shared" si="2"/>
        <v>2.8187634786930222</v>
      </c>
    </row>
    <row r="53" spans="1:8" hidden="1" x14ac:dyDescent="0.2">
      <c r="A53" t="s">
        <v>51</v>
      </c>
      <c r="B53">
        <v>658821</v>
      </c>
      <c r="C53" t="s">
        <v>135</v>
      </c>
      <c r="D53" t="s">
        <v>144</v>
      </c>
      <c r="E53" t="s">
        <v>140</v>
      </c>
      <c r="F53" t="str">
        <f t="shared" si="0"/>
        <v>19</v>
      </c>
      <c r="G53">
        <f t="shared" si="1"/>
        <v>658.82100000000003</v>
      </c>
      <c r="H53">
        <f t="shared" si="2"/>
        <v>2.8187674339081066</v>
      </c>
    </row>
    <row r="54" spans="1:8" hidden="1" x14ac:dyDescent="0.2">
      <c r="A54" t="s">
        <v>52</v>
      </c>
      <c r="B54">
        <v>658819</v>
      </c>
      <c r="C54" t="s">
        <v>135</v>
      </c>
      <c r="D54" t="s">
        <v>144</v>
      </c>
      <c r="E54" t="s">
        <v>140</v>
      </c>
      <c r="F54" t="str">
        <f t="shared" si="0"/>
        <v>20</v>
      </c>
      <c r="G54">
        <f t="shared" si="1"/>
        <v>658.81899999999996</v>
      </c>
      <c r="H54">
        <f t="shared" si="2"/>
        <v>2.8187661155070809</v>
      </c>
    </row>
    <row r="55" spans="1:8" hidden="1" x14ac:dyDescent="0.2">
      <c r="A55" t="s">
        <v>53</v>
      </c>
      <c r="B55">
        <v>658810</v>
      </c>
      <c r="C55" t="s">
        <v>135</v>
      </c>
      <c r="D55" t="s">
        <v>144</v>
      </c>
      <c r="E55" t="s">
        <v>140</v>
      </c>
      <c r="F55" t="str">
        <f t="shared" si="0"/>
        <v>7_</v>
      </c>
      <c r="G55">
        <f t="shared" si="1"/>
        <v>658.81</v>
      </c>
      <c r="H55">
        <f t="shared" si="2"/>
        <v>2.8187601826529356</v>
      </c>
    </row>
    <row r="56" spans="1:8" hidden="1" x14ac:dyDescent="0.2">
      <c r="A56" t="s">
        <v>54</v>
      </c>
      <c r="B56">
        <v>658824</v>
      </c>
      <c r="C56" t="s">
        <v>135</v>
      </c>
      <c r="D56" t="s">
        <v>144</v>
      </c>
      <c r="E56" t="s">
        <v>140</v>
      </c>
      <c r="F56" t="str">
        <f t="shared" si="0"/>
        <v>8_</v>
      </c>
      <c r="G56">
        <f t="shared" si="1"/>
        <v>658.82399999999996</v>
      </c>
      <c r="H56">
        <f t="shared" si="2"/>
        <v>2.8187694115021409</v>
      </c>
    </row>
    <row r="57" spans="1:8" hidden="1" x14ac:dyDescent="0.2">
      <c r="A57" t="s">
        <v>55</v>
      </c>
      <c r="B57">
        <v>658821</v>
      </c>
      <c r="C57" t="s">
        <v>135</v>
      </c>
      <c r="D57" t="s">
        <v>144</v>
      </c>
      <c r="E57" t="s">
        <v>140</v>
      </c>
      <c r="F57" t="str">
        <f t="shared" si="0"/>
        <v>9_</v>
      </c>
      <c r="G57">
        <f t="shared" si="1"/>
        <v>658.82100000000003</v>
      </c>
      <c r="H57">
        <f t="shared" si="2"/>
        <v>2.8187674339081066</v>
      </c>
    </row>
    <row r="58" spans="1:8" hidden="1" x14ac:dyDescent="0.2">
      <c r="A58" t="s">
        <v>56</v>
      </c>
      <c r="B58">
        <v>554856</v>
      </c>
      <c r="C58" t="s">
        <v>135</v>
      </c>
      <c r="D58" t="s">
        <v>145</v>
      </c>
      <c r="E58" t="s">
        <v>140</v>
      </c>
      <c r="F58" t="str">
        <f t="shared" si="0"/>
        <v>15</v>
      </c>
      <c r="G58">
        <f t="shared" si="1"/>
        <v>554.85599999999999</v>
      </c>
      <c r="H58">
        <f t="shared" si="2"/>
        <v>2.7441802866904452</v>
      </c>
    </row>
    <row r="59" spans="1:8" hidden="1" x14ac:dyDescent="0.2">
      <c r="A59" t="s">
        <v>57</v>
      </c>
      <c r="B59">
        <v>554858</v>
      </c>
      <c r="C59" t="s">
        <v>135</v>
      </c>
      <c r="D59" t="s">
        <v>145</v>
      </c>
      <c r="E59" t="s">
        <v>140</v>
      </c>
      <c r="F59" t="str">
        <f t="shared" si="0"/>
        <v>17</v>
      </c>
      <c r="G59">
        <f t="shared" si="1"/>
        <v>554.85799999999995</v>
      </c>
      <c r="H59">
        <f t="shared" si="2"/>
        <v>2.7441818521189498</v>
      </c>
    </row>
    <row r="60" spans="1:8" hidden="1" x14ac:dyDescent="0.2">
      <c r="A60" t="s">
        <v>58</v>
      </c>
      <c r="B60">
        <v>554854</v>
      </c>
      <c r="C60" t="s">
        <v>135</v>
      </c>
      <c r="D60" t="s">
        <v>145</v>
      </c>
      <c r="E60" t="s">
        <v>140</v>
      </c>
      <c r="F60" t="str">
        <f t="shared" si="0"/>
        <v>19</v>
      </c>
      <c r="G60">
        <f t="shared" si="1"/>
        <v>554.85400000000004</v>
      </c>
      <c r="H60">
        <f t="shared" si="2"/>
        <v>2.744178721256298</v>
      </c>
    </row>
    <row r="61" spans="1:8" hidden="1" x14ac:dyDescent="0.2">
      <c r="A61" t="s">
        <v>59</v>
      </c>
      <c r="B61">
        <v>554843</v>
      </c>
      <c r="C61" t="s">
        <v>135</v>
      </c>
      <c r="D61" t="s">
        <v>145</v>
      </c>
      <c r="E61" t="s">
        <v>140</v>
      </c>
      <c r="F61" t="str">
        <f t="shared" si="0"/>
        <v>19</v>
      </c>
      <c r="G61">
        <f t="shared" si="1"/>
        <v>554.84299999999996</v>
      </c>
      <c r="H61">
        <f t="shared" si="2"/>
        <v>2.7441701112676236</v>
      </c>
    </row>
    <row r="62" spans="1:8" hidden="1" x14ac:dyDescent="0.2">
      <c r="A62" t="s">
        <v>60</v>
      </c>
      <c r="B62">
        <v>554858</v>
      </c>
      <c r="C62" t="s">
        <v>135</v>
      </c>
      <c r="D62" t="s">
        <v>145</v>
      </c>
      <c r="E62" t="s">
        <v>140</v>
      </c>
      <c r="F62" t="str">
        <f t="shared" si="0"/>
        <v>20</v>
      </c>
      <c r="G62">
        <f t="shared" si="1"/>
        <v>554.85799999999995</v>
      </c>
      <c r="H62">
        <f t="shared" si="2"/>
        <v>2.7441818521189498</v>
      </c>
    </row>
    <row r="63" spans="1:8" hidden="1" x14ac:dyDescent="0.2">
      <c r="A63" t="s">
        <v>61</v>
      </c>
      <c r="B63">
        <v>554853</v>
      </c>
      <c r="C63" t="s">
        <v>135</v>
      </c>
      <c r="D63" t="s">
        <v>145</v>
      </c>
      <c r="E63" t="s">
        <v>140</v>
      </c>
      <c r="F63" t="str">
        <f t="shared" si="0"/>
        <v>7_</v>
      </c>
      <c r="G63">
        <f t="shared" si="1"/>
        <v>554.85299999999995</v>
      </c>
      <c r="H63">
        <f t="shared" si="2"/>
        <v>2.7441779385371086</v>
      </c>
    </row>
    <row r="64" spans="1:8" hidden="1" x14ac:dyDescent="0.2">
      <c r="A64" t="s">
        <v>62</v>
      </c>
      <c r="B64">
        <v>554856</v>
      </c>
      <c r="C64" t="s">
        <v>135</v>
      </c>
      <c r="D64" t="s">
        <v>145</v>
      </c>
      <c r="E64" t="s">
        <v>140</v>
      </c>
      <c r="F64" t="str">
        <f t="shared" si="0"/>
        <v>8_</v>
      </c>
      <c r="G64">
        <f t="shared" si="1"/>
        <v>554.85599999999999</v>
      </c>
      <c r="H64">
        <f t="shared" si="2"/>
        <v>2.7441802866904452</v>
      </c>
    </row>
    <row r="65" spans="1:8" hidden="1" x14ac:dyDescent="0.2">
      <c r="A65" t="s">
        <v>63</v>
      </c>
      <c r="B65">
        <v>554858</v>
      </c>
      <c r="C65" t="s">
        <v>135</v>
      </c>
      <c r="D65" t="s">
        <v>145</v>
      </c>
      <c r="E65" t="s">
        <v>140</v>
      </c>
      <c r="F65" t="str">
        <f t="shared" si="0"/>
        <v>9_</v>
      </c>
      <c r="G65">
        <f t="shared" si="1"/>
        <v>554.85799999999995</v>
      </c>
      <c r="H65">
        <f t="shared" si="2"/>
        <v>2.7441818521189498</v>
      </c>
    </row>
    <row r="66" spans="1:8" hidden="1" x14ac:dyDescent="0.2">
      <c r="A66" t="s">
        <v>64</v>
      </c>
      <c r="B66">
        <v>114043</v>
      </c>
      <c r="C66" t="s">
        <v>136</v>
      </c>
      <c r="D66" t="s">
        <v>139</v>
      </c>
      <c r="E66" t="s">
        <v>140</v>
      </c>
      <c r="F66" t="str">
        <f t="shared" si="0"/>
        <v>15</v>
      </c>
      <c r="G66">
        <f t="shared" si="1"/>
        <v>114.04300000000001</v>
      </c>
      <c r="H66">
        <f t="shared" si="2"/>
        <v>2.0570686332806076</v>
      </c>
    </row>
    <row r="67" spans="1:8" hidden="1" x14ac:dyDescent="0.2">
      <c r="A67" t="s">
        <v>65</v>
      </c>
      <c r="B67">
        <v>114044</v>
      </c>
      <c r="C67" t="s">
        <v>136</v>
      </c>
      <c r="D67" t="s">
        <v>139</v>
      </c>
      <c r="E67" t="s">
        <v>140</v>
      </c>
      <c r="F67" t="str">
        <f t="shared" ref="F67:F129" si="3">MID(A67,FIND("SIT_",A67)+4,2)</f>
        <v>17</v>
      </c>
      <c r="G67">
        <f t="shared" ref="G67:G129" si="4">B67/10^3</f>
        <v>114.044</v>
      </c>
      <c r="H67">
        <f t="shared" ref="H67:H129" si="5">LOG(G67)</f>
        <v>2.0570724414282169</v>
      </c>
    </row>
    <row r="68" spans="1:8" hidden="1" x14ac:dyDescent="0.2">
      <c r="A68" t="s">
        <v>66</v>
      </c>
      <c r="B68">
        <v>114043</v>
      </c>
      <c r="C68" t="s">
        <v>136</v>
      </c>
      <c r="D68" t="s">
        <v>139</v>
      </c>
      <c r="E68" t="s">
        <v>140</v>
      </c>
      <c r="F68" t="str">
        <f t="shared" si="3"/>
        <v>19</v>
      </c>
      <c r="G68">
        <f t="shared" si="4"/>
        <v>114.04300000000001</v>
      </c>
      <c r="H68">
        <f t="shared" si="5"/>
        <v>2.0570686332806076</v>
      </c>
    </row>
    <row r="69" spans="1:8" hidden="1" x14ac:dyDescent="0.2">
      <c r="A69" t="s">
        <v>67</v>
      </c>
      <c r="B69">
        <v>114043</v>
      </c>
      <c r="C69" t="s">
        <v>136</v>
      </c>
      <c r="D69" t="s">
        <v>139</v>
      </c>
      <c r="E69" t="s">
        <v>140</v>
      </c>
      <c r="F69" t="str">
        <f t="shared" si="3"/>
        <v>19</v>
      </c>
      <c r="G69">
        <f t="shared" si="4"/>
        <v>114.04300000000001</v>
      </c>
      <c r="H69">
        <f t="shared" si="5"/>
        <v>2.0570686332806076</v>
      </c>
    </row>
    <row r="70" spans="1:8" hidden="1" x14ac:dyDescent="0.2">
      <c r="A70" t="s">
        <v>68</v>
      </c>
      <c r="B70">
        <v>114044</v>
      </c>
      <c r="C70" t="s">
        <v>136</v>
      </c>
      <c r="D70" t="s">
        <v>139</v>
      </c>
      <c r="E70" t="s">
        <v>140</v>
      </c>
      <c r="F70" t="str">
        <f t="shared" si="3"/>
        <v>20</v>
      </c>
      <c r="G70">
        <f t="shared" si="4"/>
        <v>114.044</v>
      </c>
      <c r="H70">
        <f t="shared" si="5"/>
        <v>2.0570724414282169</v>
      </c>
    </row>
    <row r="71" spans="1:8" hidden="1" x14ac:dyDescent="0.2">
      <c r="A71" t="s">
        <v>69</v>
      </c>
      <c r="B71">
        <v>114044</v>
      </c>
      <c r="C71" t="s">
        <v>136</v>
      </c>
      <c r="D71" t="s">
        <v>139</v>
      </c>
      <c r="E71" t="s">
        <v>140</v>
      </c>
      <c r="F71" t="str">
        <f t="shared" si="3"/>
        <v>7_</v>
      </c>
      <c r="G71">
        <f t="shared" si="4"/>
        <v>114.044</v>
      </c>
      <c r="H71">
        <f t="shared" si="5"/>
        <v>2.0570724414282169</v>
      </c>
    </row>
    <row r="72" spans="1:8" hidden="1" x14ac:dyDescent="0.2">
      <c r="A72" t="s">
        <v>70</v>
      </c>
      <c r="B72">
        <v>114044</v>
      </c>
      <c r="C72" t="s">
        <v>136</v>
      </c>
      <c r="D72" t="s">
        <v>139</v>
      </c>
      <c r="E72" t="s">
        <v>140</v>
      </c>
      <c r="F72" t="str">
        <f t="shared" si="3"/>
        <v>8_</v>
      </c>
      <c r="G72">
        <f t="shared" si="4"/>
        <v>114.044</v>
      </c>
      <c r="H72">
        <f t="shared" si="5"/>
        <v>2.0570724414282169</v>
      </c>
    </row>
    <row r="73" spans="1:8" hidden="1" x14ac:dyDescent="0.2">
      <c r="A73" t="s">
        <v>71</v>
      </c>
      <c r="B73">
        <v>114044</v>
      </c>
      <c r="C73" t="s">
        <v>136</v>
      </c>
      <c r="D73" t="s">
        <v>139</v>
      </c>
      <c r="E73" t="s">
        <v>140</v>
      </c>
      <c r="F73" t="str">
        <f t="shared" si="3"/>
        <v>9_</v>
      </c>
      <c r="G73">
        <f t="shared" si="4"/>
        <v>114.044</v>
      </c>
      <c r="H73">
        <f t="shared" si="5"/>
        <v>2.0570724414282169</v>
      </c>
    </row>
    <row r="74" spans="1:8" hidden="1" x14ac:dyDescent="0.2">
      <c r="A74" t="s">
        <v>72</v>
      </c>
      <c r="B74">
        <v>97805</v>
      </c>
      <c r="C74" t="s">
        <v>136</v>
      </c>
      <c r="D74" t="s">
        <v>143</v>
      </c>
      <c r="E74" t="s">
        <v>140</v>
      </c>
      <c r="F74" t="str">
        <f t="shared" si="3"/>
        <v>15</v>
      </c>
      <c r="G74">
        <f t="shared" si="4"/>
        <v>97.805000000000007</v>
      </c>
      <c r="H74">
        <f t="shared" si="5"/>
        <v>1.9903610574144259</v>
      </c>
    </row>
    <row r="75" spans="1:8" hidden="1" x14ac:dyDescent="0.2">
      <c r="A75" t="s">
        <v>73</v>
      </c>
      <c r="B75">
        <v>97805</v>
      </c>
      <c r="C75" t="s">
        <v>136</v>
      </c>
      <c r="D75" t="s">
        <v>143</v>
      </c>
      <c r="E75" t="s">
        <v>140</v>
      </c>
      <c r="F75" t="str">
        <f t="shared" si="3"/>
        <v>17</v>
      </c>
      <c r="G75">
        <f t="shared" si="4"/>
        <v>97.805000000000007</v>
      </c>
      <c r="H75">
        <f t="shared" si="5"/>
        <v>1.9903610574144259</v>
      </c>
    </row>
    <row r="76" spans="1:8" hidden="1" x14ac:dyDescent="0.2">
      <c r="A76" t="s">
        <v>74</v>
      </c>
      <c r="B76">
        <v>97804</v>
      </c>
      <c r="C76" t="s">
        <v>136</v>
      </c>
      <c r="D76" t="s">
        <v>143</v>
      </c>
      <c r="E76" t="s">
        <v>140</v>
      </c>
      <c r="F76" t="str">
        <f t="shared" si="3"/>
        <v>19</v>
      </c>
      <c r="G76">
        <f t="shared" si="4"/>
        <v>97.804000000000002</v>
      </c>
      <c r="H76">
        <f t="shared" si="5"/>
        <v>1.9903566169798659</v>
      </c>
    </row>
    <row r="77" spans="1:8" hidden="1" x14ac:dyDescent="0.2">
      <c r="A77" t="s">
        <v>75</v>
      </c>
      <c r="B77">
        <v>97805</v>
      </c>
      <c r="C77" t="s">
        <v>136</v>
      </c>
      <c r="D77" t="s">
        <v>143</v>
      </c>
      <c r="E77" t="s">
        <v>140</v>
      </c>
      <c r="F77" t="str">
        <f t="shared" si="3"/>
        <v>19</v>
      </c>
      <c r="G77">
        <f t="shared" si="4"/>
        <v>97.805000000000007</v>
      </c>
      <c r="H77">
        <f t="shared" si="5"/>
        <v>1.9903610574144259</v>
      </c>
    </row>
    <row r="78" spans="1:8" hidden="1" x14ac:dyDescent="0.2">
      <c r="A78" t="s">
        <v>76</v>
      </c>
      <c r="B78">
        <v>97804</v>
      </c>
      <c r="C78" t="s">
        <v>136</v>
      </c>
      <c r="D78" t="s">
        <v>143</v>
      </c>
      <c r="E78" t="s">
        <v>140</v>
      </c>
      <c r="F78" t="str">
        <f t="shared" si="3"/>
        <v>20</v>
      </c>
      <c r="G78">
        <f t="shared" si="4"/>
        <v>97.804000000000002</v>
      </c>
      <c r="H78">
        <f t="shared" si="5"/>
        <v>1.9903566169798659</v>
      </c>
    </row>
    <row r="79" spans="1:8" hidden="1" x14ac:dyDescent="0.2">
      <c r="A79" t="s">
        <v>77</v>
      </c>
      <c r="B79">
        <v>97805</v>
      </c>
      <c r="C79" t="s">
        <v>136</v>
      </c>
      <c r="D79" t="s">
        <v>143</v>
      </c>
      <c r="E79" t="s">
        <v>140</v>
      </c>
      <c r="F79" t="str">
        <f t="shared" si="3"/>
        <v>7_</v>
      </c>
      <c r="G79">
        <f t="shared" si="4"/>
        <v>97.805000000000007</v>
      </c>
      <c r="H79">
        <f t="shared" si="5"/>
        <v>1.9903610574144259</v>
      </c>
    </row>
    <row r="80" spans="1:8" hidden="1" x14ac:dyDescent="0.2">
      <c r="A80" t="s">
        <v>78</v>
      </c>
      <c r="B80">
        <v>97804</v>
      </c>
      <c r="C80" t="s">
        <v>136</v>
      </c>
      <c r="D80" t="s">
        <v>143</v>
      </c>
      <c r="E80" t="s">
        <v>140</v>
      </c>
      <c r="F80" t="str">
        <f t="shared" si="3"/>
        <v>8_</v>
      </c>
      <c r="G80">
        <f t="shared" si="4"/>
        <v>97.804000000000002</v>
      </c>
      <c r="H80">
        <f t="shared" si="5"/>
        <v>1.9903566169798659</v>
      </c>
    </row>
    <row r="81" spans="1:8" hidden="1" x14ac:dyDescent="0.2">
      <c r="A81" t="s">
        <v>79</v>
      </c>
      <c r="B81">
        <v>97804</v>
      </c>
      <c r="C81" t="s">
        <v>136</v>
      </c>
      <c r="D81" t="s">
        <v>143</v>
      </c>
      <c r="E81" t="s">
        <v>140</v>
      </c>
      <c r="F81" t="str">
        <f t="shared" si="3"/>
        <v>9_</v>
      </c>
      <c r="G81">
        <f t="shared" si="4"/>
        <v>97.804000000000002</v>
      </c>
      <c r="H81">
        <f t="shared" si="5"/>
        <v>1.9903566169798659</v>
      </c>
    </row>
    <row r="82" spans="1:8" hidden="1" x14ac:dyDescent="0.2">
      <c r="A82" t="s">
        <v>80</v>
      </c>
      <c r="B82">
        <v>214827</v>
      </c>
      <c r="C82" t="s">
        <v>136</v>
      </c>
      <c r="D82" t="s">
        <v>144</v>
      </c>
      <c r="E82" t="s">
        <v>140</v>
      </c>
      <c r="F82" t="str">
        <f t="shared" si="3"/>
        <v>15</v>
      </c>
      <c r="G82">
        <f t="shared" si="4"/>
        <v>214.827</v>
      </c>
      <c r="H82">
        <f t="shared" si="5"/>
        <v>2.3320888636853714</v>
      </c>
    </row>
    <row r="83" spans="1:8" hidden="1" x14ac:dyDescent="0.2">
      <c r="A83" t="s">
        <v>81</v>
      </c>
      <c r="B83">
        <v>214827</v>
      </c>
      <c r="C83" t="s">
        <v>136</v>
      </c>
      <c r="D83" t="s">
        <v>144</v>
      </c>
      <c r="E83" t="s">
        <v>140</v>
      </c>
      <c r="F83" t="str">
        <f t="shared" si="3"/>
        <v>17</v>
      </c>
      <c r="G83">
        <f t="shared" si="4"/>
        <v>214.827</v>
      </c>
      <c r="H83">
        <f t="shared" si="5"/>
        <v>2.3320888636853714</v>
      </c>
    </row>
    <row r="84" spans="1:8" hidden="1" x14ac:dyDescent="0.2">
      <c r="A84" t="s">
        <v>82</v>
      </c>
      <c r="B84">
        <v>214827</v>
      </c>
      <c r="C84" t="s">
        <v>136</v>
      </c>
      <c r="D84" t="s">
        <v>144</v>
      </c>
      <c r="E84" t="s">
        <v>140</v>
      </c>
      <c r="F84" t="str">
        <f t="shared" si="3"/>
        <v>19</v>
      </c>
      <c r="G84">
        <f t="shared" si="4"/>
        <v>214.827</v>
      </c>
      <c r="H84">
        <f t="shared" si="5"/>
        <v>2.3320888636853714</v>
      </c>
    </row>
    <row r="85" spans="1:8" hidden="1" x14ac:dyDescent="0.2">
      <c r="A85" t="s">
        <v>83</v>
      </c>
      <c r="B85">
        <v>214827</v>
      </c>
      <c r="C85" t="s">
        <v>136</v>
      </c>
      <c r="D85" t="s">
        <v>144</v>
      </c>
      <c r="E85" t="s">
        <v>140</v>
      </c>
      <c r="F85" t="str">
        <f t="shared" si="3"/>
        <v>19</v>
      </c>
      <c r="G85">
        <f t="shared" si="4"/>
        <v>214.827</v>
      </c>
      <c r="H85">
        <f t="shared" si="5"/>
        <v>2.3320888636853714</v>
      </c>
    </row>
    <row r="86" spans="1:8" hidden="1" x14ac:dyDescent="0.2">
      <c r="A86" t="s">
        <v>84</v>
      </c>
      <c r="B86">
        <v>214826</v>
      </c>
      <c r="C86" t="s">
        <v>136</v>
      </c>
      <c r="D86" t="s">
        <v>144</v>
      </c>
      <c r="E86" t="s">
        <v>140</v>
      </c>
      <c r="F86" t="str">
        <f t="shared" si="3"/>
        <v>20</v>
      </c>
      <c r="G86">
        <f t="shared" si="4"/>
        <v>214.82599999999999</v>
      </c>
      <c r="H86">
        <f t="shared" si="5"/>
        <v>2.3320868420796481</v>
      </c>
    </row>
    <row r="87" spans="1:8" hidden="1" x14ac:dyDescent="0.2">
      <c r="A87" t="s">
        <v>85</v>
      </c>
      <c r="B87">
        <v>214826</v>
      </c>
      <c r="C87" t="s">
        <v>136</v>
      </c>
      <c r="D87" t="s">
        <v>144</v>
      </c>
      <c r="E87" t="s">
        <v>140</v>
      </c>
      <c r="F87" t="str">
        <f t="shared" si="3"/>
        <v>7_</v>
      </c>
      <c r="G87">
        <f t="shared" si="4"/>
        <v>214.82599999999999</v>
      </c>
      <c r="H87">
        <f t="shared" si="5"/>
        <v>2.3320868420796481</v>
      </c>
    </row>
    <row r="88" spans="1:8" hidden="1" x14ac:dyDescent="0.2">
      <c r="A88" t="s">
        <v>86</v>
      </c>
      <c r="B88">
        <v>214826</v>
      </c>
      <c r="C88" t="s">
        <v>136</v>
      </c>
      <c r="D88" t="s">
        <v>144</v>
      </c>
      <c r="E88" t="s">
        <v>140</v>
      </c>
      <c r="F88" t="str">
        <f t="shared" si="3"/>
        <v>8_</v>
      </c>
      <c r="G88">
        <f t="shared" si="4"/>
        <v>214.82599999999999</v>
      </c>
      <c r="H88">
        <f t="shared" si="5"/>
        <v>2.3320868420796481</v>
      </c>
    </row>
    <row r="89" spans="1:8" hidden="1" x14ac:dyDescent="0.2">
      <c r="A89" t="s">
        <v>87</v>
      </c>
      <c r="B89">
        <v>214827</v>
      </c>
      <c r="C89" t="s">
        <v>136</v>
      </c>
      <c r="D89" t="s">
        <v>144</v>
      </c>
      <c r="E89" t="s">
        <v>140</v>
      </c>
      <c r="F89" t="str">
        <f t="shared" si="3"/>
        <v>9_</v>
      </c>
      <c r="G89">
        <f t="shared" si="4"/>
        <v>214.827</v>
      </c>
      <c r="H89">
        <f t="shared" si="5"/>
        <v>2.3320888636853714</v>
      </c>
    </row>
    <row r="90" spans="1:8" hidden="1" x14ac:dyDescent="0.2">
      <c r="A90" t="s">
        <v>88</v>
      </c>
      <c r="B90">
        <v>252929</v>
      </c>
      <c r="C90" t="s">
        <v>136</v>
      </c>
      <c r="D90" t="s">
        <v>145</v>
      </c>
      <c r="E90" t="s">
        <v>140</v>
      </c>
      <c r="F90" t="str">
        <f t="shared" si="3"/>
        <v>15</v>
      </c>
      <c r="G90">
        <f t="shared" si="4"/>
        <v>252.929</v>
      </c>
      <c r="H90">
        <f t="shared" si="5"/>
        <v>2.4029986269637149</v>
      </c>
    </row>
    <row r="91" spans="1:8" hidden="1" x14ac:dyDescent="0.2">
      <c r="A91" t="s">
        <v>89</v>
      </c>
      <c r="B91">
        <v>252929</v>
      </c>
      <c r="C91" t="s">
        <v>136</v>
      </c>
      <c r="D91" t="s">
        <v>145</v>
      </c>
      <c r="E91" t="s">
        <v>140</v>
      </c>
      <c r="F91" t="str">
        <f t="shared" si="3"/>
        <v>17</v>
      </c>
      <c r="G91">
        <f t="shared" si="4"/>
        <v>252.929</v>
      </c>
      <c r="H91">
        <f t="shared" si="5"/>
        <v>2.4029986269637149</v>
      </c>
    </row>
    <row r="92" spans="1:8" hidden="1" x14ac:dyDescent="0.2">
      <c r="A92" t="s">
        <v>90</v>
      </c>
      <c r="B92">
        <v>252929</v>
      </c>
      <c r="C92" t="s">
        <v>136</v>
      </c>
      <c r="D92" t="s">
        <v>145</v>
      </c>
      <c r="E92" t="s">
        <v>140</v>
      </c>
      <c r="F92" t="str">
        <f t="shared" si="3"/>
        <v>19</v>
      </c>
      <c r="G92">
        <f t="shared" si="4"/>
        <v>252.929</v>
      </c>
      <c r="H92">
        <f t="shared" si="5"/>
        <v>2.4029986269637149</v>
      </c>
    </row>
    <row r="93" spans="1:8" hidden="1" x14ac:dyDescent="0.2">
      <c r="A93" t="s">
        <v>91</v>
      </c>
      <c r="B93">
        <v>252930</v>
      </c>
      <c r="C93" t="s">
        <v>136</v>
      </c>
      <c r="D93" t="s">
        <v>145</v>
      </c>
      <c r="E93" t="s">
        <v>140</v>
      </c>
      <c r="F93" t="str">
        <f t="shared" si="3"/>
        <v>19</v>
      </c>
      <c r="G93">
        <f t="shared" si="4"/>
        <v>252.93</v>
      </c>
      <c r="H93">
        <f t="shared" si="5"/>
        <v>2.4030003440211631</v>
      </c>
    </row>
    <row r="94" spans="1:8" hidden="1" x14ac:dyDescent="0.2">
      <c r="A94" t="s">
        <v>92</v>
      </c>
      <c r="B94">
        <v>252930</v>
      </c>
      <c r="C94" t="s">
        <v>136</v>
      </c>
      <c r="D94" t="s">
        <v>145</v>
      </c>
      <c r="E94" t="s">
        <v>140</v>
      </c>
      <c r="F94" t="str">
        <f t="shared" si="3"/>
        <v>20</v>
      </c>
      <c r="G94">
        <f t="shared" si="4"/>
        <v>252.93</v>
      </c>
      <c r="H94">
        <f t="shared" si="5"/>
        <v>2.4030003440211631</v>
      </c>
    </row>
    <row r="95" spans="1:8" hidden="1" x14ac:dyDescent="0.2">
      <c r="A95" t="s">
        <v>93</v>
      </c>
      <c r="B95">
        <v>252930</v>
      </c>
      <c r="C95" t="s">
        <v>136</v>
      </c>
      <c r="D95" t="s">
        <v>145</v>
      </c>
      <c r="E95" t="s">
        <v>140</v>
      </c>
      <c r="F95" t="str">
        <f t="shared" si="3"/>
        <v>7_</v>
      </c>
      <c r="G95">
        <f t="shared" si="4"/>
        <v>252.93</v>
      </c>
      <c r="H95">
        <f t="shared" si="5"/>
        <v>2.4030003440211631</v>
      </c>
    </row>
    <row r="96" spans="1:8" hidden="1" x14ac:dyDescent="0.2">
      <c r="A96" t="s">
        <v>94</v>
      </c>
      <c r="B96">
        <v>252929</v>
      </c>
      <c r="C96" t="s">
        <v>136</v>
      </c>
      <c r="D96" t="s">
        <v>145</v>
      </c>
      <c r="E96" t="s">
        <v>140</v>
      </c>
      <c r="F96" t="str">
        <f t="shared" si="3"/>
        <v>8_</v>
      </c>
      <c r="G96">
        <f t="shared" si="4"/>
        <v>252.929</v>
      </c>
      <c r="H96">
        <f t="shared" si="5"/>
        <v>2.4029986269637149</v>
      </c>
    </row>
    <row r="97" spans="1:8" hidden="1" x14ac:dyDescent="0.2">
      <c r="A97" t="s">
        <v>95</v>
      </c>
      <c r="B97">
        <v>252930</v>
      </c>
      <c r="C97" t="s">
        <v>136</v>
      </c>
      <c r="D97" t="s">
        <v>145</v>
      </c>
      <c r="E97" t="s">
        <v>140</v>
      </c>
      <c r="F97" t="str">
        <f t="shared" si="3"/>
        <v>9_</v>
      </c>
      <c r="G97">
        <f t="shared" si="4"/>
        <v>252.93</v>
      </c>
      <c r="H97">
        <f t="shared" si="5"/>
        <v>2.4030003440211631</v>
      </c>
    </row>
    <row r="98" spans="1:8" hidden="1" x14ac:dyDescent="0.2">
      <c r="A98" t="s">
        <v>96</v>
      </c>
      <c r="B98">
        <v>113617</v>
      </c>
      <c r="C98" t="s">
        <v>146</v>
      </c>
      <c r="D98" s="13" t="s">
        <v>139</v>
      </c>
      <c r="E98" t="s">
        <v>140</v>
      </c>
      <c r="F98" t="str">
        <f t="shared" si="3"/>
        <v>15</v>
      </c>
      <c r="G98">
        <f t="shared" si="4"/>
        <v>113.617</v>
      </c>
      <c r="H98">
        <f t="shared" si="5"/>
        <v>2.0554433177642766</v>
      </c>
    </row>
    <row r="99" spans="1:8" hidden="1" x14ac:dyDescent="0.2">
      <c r="A99" t="s">
        <v>97</v>
      </c>
      <c r="B99">
        <v>113617</v>
      </c>
      <c r="C99" t="s">
        <v>146</v>
      </c>
      <c r="D99" s="13" t="s">
        <v>139</v>
      </c>
      <c r="E99" t="s">
        <v>140</v>
      </c>
      <c r="F99" t="str">
        <f t="shared" si="3"/>
        <v>17</v>
      </c>
      <c r="G99">
        <f t="shared" si="4"/>
        <v>113.617</v>
      </c>
      <c r="H99">
        <f t="shared" si="5"/>
        <v>2.0554433177642766</v>
      </c>
    </row>
    <row r="100" spans="1:8" hidden="1" x14ac:dyDescent="0.2">
      <c r="A100" t="s">
        <v>98</v>
      </c>
      <c r="B100">
        <v>113618</v>
      </c>
      <c r="C100" t="s">
        <v>146</v>
      </c>
      <c r="D100" s="13" t="s">
        <v>139</v>
      </c>
      <c r="E100" t="s">
        <v>140</v>
      </c>
      <c r="F100" t="str">
        <f t="shared" si="3"/>
        <v>19</v>
      </c>
      <c r="G100">
        <f t="shared" si="4"/>
        <v>113.61799999999999</v>
      </c>
      <c r="H100">
        <f t="shared" si="5"/>
        <v>2.0554471401902403</v>
      </c>
    </row>
    <row r="101" spans="1:8" hidden="1" x14ac:dyDescent="0.2">
      <c r="A101" t="s">
        <v>99</v>
      </c>
      <c r="B101">
        <v>113618</v>
      </c>
      <c r="C101" t="s">
        <v>146</v>
      </c>
      <c r="D101" s="13" t="s">
        <v>139</v>
      </c>
      <c r="E101" t="s">
        <v>140</v>
      </c>
      <c r="F101" t="str">
        <f t="shared" si="3"/>
        <v>19</v>
      </c>
      <c r="G101">
        <f t="shared" si="4"/>
        <v>113.61799999999999</v>
      </c>
      <c r="H101">
        <f t="shared" si="5"/>
        <v>2.0554471401902403</v>
      </c>
    </row>
    <row r="102" spans="1:8" hidden="1" x14ac:dyDescent="0.2">
      <c r="A102" t="s">
        <v>100</v>
      </c>
      <c r="B102">
        <v>113618</v>
      </c>
      <c r="C102" t="s">
        <v>146</v>
      </c>
      <c r="D102" s="13" t="s">
        <v>139</v>
      </c>
      <c r="E102" t="s">
        <v>140</v>
      </c>
      <c r="F102" t="str">
        <f t="shared" si="3"/>
        <v>20</v>
      </c>
      <c r="G102">
        <f t="shared" si="4"/>
        <v>113.61799999999999</v>
      </c>
      <c r="H102">
        <f t="shared" si="5"/>
        <v>2.0554471401902403</v>
      </c>
    </row>
    <row r="103" spans="1:8" hidden="1" x14ac:dyDescent="0.2">
      <c r="A103" t="s">
        <v>101</v>
      </c>
      <c r="B103">
        <v>113617</v>
      </c>
      <c r="C103" t="s">
        <v>146</v>
      </c>
      <c r="D103" s="13" t="s">
        <v>139</v>
      </c>
      <c r="E103" t="s">
        <v>140</v>
      </c>
      <c r="F103" t="str">
        <f t="shared" si="3"/>
        <v>7_</v>
      </c>
      <c r="G103">
        <f t="shared" si="4"/>
        <v>113.617</v>
      </c>
      <c r="H103">
        <f t="shared" si="5"/>
        <v>2.0554433177642766</v>
      </c>
    </row>
    <row r="104" spans="1:8" hidden="1" x14ac:dyDescent="0.2">
      <c r="A104" t="s">
        <v>102</v>
      </c>
      <c r="B104">
        <v>113618</v>
      </c>
      <c r="C104" t="s">
        <v>146</v>
      </c>
      <c r="D104" s="13" t="s">
        <v>139</v>
      </c>
      <c r="E104" t="s">
        <v>140</v>
      </c>
      <c r="F104" t="str">
        <f t="shared" si="3"/>
        <v>8_</v>
      </c>
      <c r="G104">
        <f t="shared" si="4"/>
        <v>113.61799999999999</v>
      </c>
      <c r="H104">
        <f t="shared" si="5"/>
        <v>2.0554471401902403</v>
      </c>
    </row>
    <row r="105" spans="1:8" hidden="1" x14ac:dyDescent="0.2">
      <c r="A105" t="s">
        <v>103</v>
      </c>
      <c r="B105">
        <v>113617</v>
      </c>
      <c r="C105" t="s">
        <v>146</v>
      </c>
      <c r="D105" s="13" t="s">
        <v>139</v>
      </c>
      <c r="E105" t="s">
        <v>140</v>
      </c>
      <c r="F105" t="str">
        <f t="shared" si="3"/>
        <v>9_</v>
      </c>
      <c r="G105">
        <f t="shared" si="4"/>
        <v>113.617</v>
      </c>
      <c r="H105">
        <f t="shared" si="5"/>
        <v>2.0554433177642766</v>
      </c>
    </row>
    <row r="106" spans="1:8" hidden="1" x14ac:dyDescent="0.2">
      <c r="A106" t="s">
        <v>104</v>
      </c>
      <c r="B106">
        <v>97379</v>
      </c>
      <c r="C106" t="s">
        <v>146</v>
      </c>
      <c r="D106" t="s">
        <v>143</v>
      </c>
      <c r="E106" t="s">
        <v>140</v>
      </c>
      <c r="F106" t="str">
        <f t="shared" si="3"/>
        <v>15</v>
      </c>
      <c r="G106">
        <f t="shared" si="4"/>
        <v>97.379000000000005</v>
      </c>
      <c r="H106">
        <f t="shared" si="5"/>
        <v>1.988465310395624</v>
      </c>
    </row>
    <row r="107" spans="1:8" hidden="1" x14ac:dyDescent="0.2">
      <c r="A107" t="s">
        <v>105</v>
      </c>
      <c r="B107">
        <v>97378</v>
      </c>
      <c r="C107" t="s">
        <v>146</v>
      </c>
      <c r="D107" t="s">
        <v>143</v>
      </c>
      <c r="E107" t="s">
        <v>140</v>
      </c>
      <c r="F107" t="str">
        <f t="shared" si="3"/>
        <v>17</v>
      </c>
      <c r="G107">
        <f t="shared" si="4"/>
        <v>97.378</v>
      </c>
      <c r="H107">
        <f t="shared" si="5"/>
        <v>1.9884608505355736</v>
      </c>
    </row>
    <row r="108" spans="1:8" hidden="1" x14ac:dyDescent="0.2">
      <c r="A108" t="s">
        <v>106</v>
      </c>
      <c r="B108">
        <v>97378</v>
      </c>
      <c r="C108" t="s">
        <v>146</v>
      </c>
      <c r="D108" t="s">
        <v>143</v>
      </c>
      <c r="E108" t="s">
        <v>140</v>
      </c>
      <c r="F108" t="str">
        <f t="shared" si="3"/>
        <v>19</v>
      </c>
      <c r="G108">
        <f t="shared" si="4"/>
        <v>97.378</v>
      </c>
      <c r="H108">
        <f t="shared" si="5"/>
        <v>1.9884608505355736</v>
      </c>
    </row>
    <row r="109" spans="1:8" hidden="1" x14ac:dyDescent="0.2">
      <c r="A109" t="s">
        <v>107</v>
      </c>
      <c r="B109">
        <v>97379</v>
      </c>
      <c r="C109" t="s">
        <v>146</v>
      </c>
      <c r="D109" t="s">
        <v>143</v>
      </c>
      <c r="E109" t="s">
        <v>140</v>
      </c>
      <c r="F109" t="str">
        <f t="shared" si="3"/>
        <v>19</v>
      </c>
      <c r="G109">
        <f t="shared" si="4"/>
        <v>97.379000000000005</v>
      </c>
      <c r="H109">
        <f t="shared" si="5"/>
        <v>1.988465310395624</v>
      </c>
    </row>
    <row r="110" spans="1:8" hidden="1" x14ac:dyDescent="0.2">
      <c r="A110" t="s">
        <v>108</v>
      </c>
      <c r="B110">
        <v>97379</v>
      </c>
      <c r="C110" t="s">
        <v>146</v>
      </c>
      <c r="D110" t="s">
        <v>143</v>
      </c>
      <c r="E110" t="s">
        <v>140</v>
      </c>
      <c r="F110" t="str">
        <f t="shared" si="3"/>
        <v>20</v>
      </c>
      <c r="G110">
        <f t="shared" si="4"/>
        <v>97.379000000000005</v>
      </c>
      <c r="H110">
        <f t="shared" si="5"/>
        <v>1.988465310395624</v>
      </c>
    </row>
    <row r="111" spans="1:8" hidden="1" x14ac:dyDescent="0.2">
      <c r="A111" t="s">
        <v>109</v>
      </c>
      <c r="B111">
        <v>97379</v>
      </c>
      <c r="C111" t="s">
        <v>146</v>
      </c>
      <c r="D111" t="s">
        <v>143</v>
      </c>
      <c r="E111" t="s">
        <v>140</v>
      </c>
      <c r="F111" t="str">
        <f t="shared" si="3"/>
        <v>7_</v>
      </c>
      <c r="G111">
        <f t="shared" si="4"/>
        <v>97.379000000000005</v>
      </c>
      <c r="H111">
        <f t="shared" si="5"/>
        <v>1.988465310395624</v>
      </c>
    </row>
    <row r="112" spans="1:8" hidden="1" x14ac:dyDescent="0.2">
      <c r="A112" t="s">
        <v>110</v>
      </c>
      <c r="B112">
        <v>97378</v>
      </c>
      <c r="C112" t="s">
        <v>146</v>
      </c>
      <c r="D112" t="s">
        <v>143</v>
      </c>
      <c r="E112" t="s">
        <v>140</v>
      </c>
      <c r="F112" t="str">
        <f t="shared" si="3"/>
        <v>8_</v>
      </c>
      <c r="G112">
        <f t="shared" si="4"/>
        <v>97.378</v>
      </c>
      <c r="H112">
        <f t="shared" si="5"/>
        <v>1.9884608505355736</v>
      </c>
    </row>
    <row r="113" spans="1:8" hidden="1" x14ac:dyDescent="0.2">
      <c r="A113" t="s">
        <v>111</v>
      </c>
      <c r="B113">
        <v>97379</v>
      </c>
      <c r="C113" t="s">
        <v>146</v>
      </c>
      <c r="D113" t="s">
        <v>143</v>
      </c>
      <c r="E113" t="s">
        <v>140</v>
      </c>
      <c r="F113" t="str">
        <f t="shared" si="3"/>
        <v>9_</v>
      </c>
      <c r="G113">
        <f t="shared" si="4"/>
        <v>97.379000000000005</v>
      </c>
      <c r="H113">
        <f t="shared" si="5"/>
        <v>1.988465310395624</v>
      </c>
    </row>
    <row r="114" spans="1:8" hidden="1" x14ac:dyDescent="0.2">
      <c r="A114" t="s">
        <v>112</v>
      </c>
      <c r="B114">
        <v>214400</v>
      </c>
      <c r="C114" t="s">
        <v>146</v>
      </c>
      <c r="D114" s="13" t="s">
        <v>144</v>
      </c>
      <c r="E114" t="s">
        <v>140</v>
      </c>
      <c r="F114" t="str">
        <f t="shared" si="3"/>
        <v>15</v>
      </c>
      <c r="G114">
        <f t="shared" si="4"/>
        <v>214.4</v>
      </c>
      <c r="H114">
        <f t="shared" si="5"/>
        <v>2.3312247810207323</v>
      </c>
    </row>
    <row r="115" spans="1:8" hidden="1" x14ac:dyDescent="0.2">
      <c r="A115" t="s">
        <v>113</v>
      </c>
      <c r="B115">
        <v>214400</v>
      </c>
      <c r="C115" t="s">
        <v>146</v>
      </c>
      <c r="D115" s="13" t="s">
        <v>144</v>
      </c>
      <c r="E115" t="s">
        <v>140</v>
      </c>
      <c r="F115" t="str">
        <f t="shared" si="3"/>
        <v>17</v>
      </c>
      <c r="G115">
        <f t="shared" si="4"/>
        <v>214.4</v>
      </c>
      <c r="H115">
        <f t="shared" si="5"/>
        <v>2.3312247810207323</v>
      </c>
    </row>
    <row r="116" spans="1:8" hidden="1" x14ac:dyDescent="0.2">
      <c r="A116" t="s">
        <v>114</v>
      </c>
      <c r="B116">
        <v>214401</v>
      </c>
      <c r="C116" t="s">
        <v>146</v>
      </c>
      <c r="D116" s="13" t="s">
        <v>144</v>
      </c>
      <c r="E116" t="s">
        <v>140</v>
      </c>
      <c r="F116" t="str">
        <f t="shared" si="3"/>
        <v>19</v>
      </c>
      <c r="G116">
        <f t="shared" si="4"/>
        <v>214.40100000000001</v>
      </c>
      <c r="H116">
        <f t="shared" si="5"/>
        <v>2.3312268066432562</v>
      </c>
    </row>
    <row r="117" spans="1:8" hidden="1" x14ac:dyDescent="0.2">
      <c r="A117" t="s">
        <v>115</v>
      </c>
      <c r="B117">
        <v>214401</v>
      </c>
      <c r="C117" t="s">
        <v>146</v>
      </c>
      <c r="D117" s="13" t="s">
        <v>144</v>
      </c>
      <c r="E117" t="s">
        <v>140</v>
      </c>
      <c r="F117" t="str">
        <f t="shared" si="3"/>
        <v>19</v>
      </c>
      <c r="G117">
        <f t="shared" si="4"/>
        <v>214.40100000000001</v>
      </c>
      <c r="H117">
        <f t="shared" si="5"/>
        <v>2.3312268066432562</v>
      </c>
    </row>
    <row r="118" spans="1:8" hidden="1" x14ac:dyDescent="0.2">
      <c r="A118" t="s">
        <v>116</v>
      </c>
      <c r="B118">
        <v>214400</v>
      </c>
      <c r="C118" t="s">
        <v>146</v>
      </c>
      <c r="D118" s="13" t="s">
        <v>144</v>
      </c>
      <c r="E118" t="s">
        <v>140</v>
      </c>
      <c r="F118" t="str">
        <f t="shared" si="3"/>
        <v>20</v>
      </c>
      <c r="G118">
        <f t="shared" si="4"/>
        <v>214.4</v>
      </c>
      <c r="H118">
        <f t="shared" si="5"/>
        <v>2.3312247810207323</v>
      </c>
    </row>
    <row r="119" spans="1:8" hidden="1" x14ac:dyDescent="0.2">
      <c r="A119" t="s">
        <v>117</v>
      </c>
      <c r="B119">
        <v>214400</v>
      </c>
      <c r="C119" t="s">
        <v>146</v>
      </c>
      <c r="D119" s="13" t="s">
        <v>144</v>
      </c>
      <c r="E119" t="s">
        <v>140</v>
      </c>
      <c r="F119" t="str">
        <f t="shared" si="3"/>
        <v>7_</v>
      </c>
      <c r="G119">
        <f t="shared" si="4"/>
        <v>214.4</v>
      </c>
      <c r="H119">
        <f t="shared" si="5"/>
        <v>2.3312247810207323</v>
      </c>
    </row>
    <row r="120" spans="1:8" hidden="1" x14ac:dyDescent="0.2">
      <c r="A120" t="s">
        <v>118</v>
      </c>
      <c r="B120">
        <v>214401</v>
      </c>
      <c r="C120" t="s">
        <v>146</v>
      </c>
      <c r="D120" s="13" t="s">
        <v>144</v>
      </c>
      <c r="E120" t="s">
        <v>140</v>
      </c>
      <c r="F120" t="str">
        <f t="shared" si="3"/>
        <v>8_</v>
      </c>
      <c r="G120">
        <f t="shared" si="4"/>
        <v>214.40100000000001</v>
      </c>
      <c r="H120">
        <f t="shared" si="5"/>
        <v>2.3312268066432562</v>
      </c>
    </row>
    <row r="121" spans="1:8" hidden="1" x14ac:dyDescent="0.2">
      <c r="A121" t="s">
        <v>119</v>
      </c>
      <c r="B121">
        <v>214401</v>
      </c>
      <c r="C121" t="s">
        <v>146</v>
      </c>
      <c r="D121" s="13" t="s">
        <v>144</v>
      </c>
      <c r="E121" t="s">
        <v>140</v>
      </c>
      <c r="F121" t="str">
        <f t="shared" si="3"/>
        <v>9_</v>
      </c>
      <c r="G121">
        <f t="shared" si="4"/>
        <v>214.40100000000001</v>
      </c>
      <c r="H121">
        <f t="shared" si="5"/>
        <v>2.3312268066432562</v>
      </c>
    </row>
    <row r="122" spans="1:8" hidden="1" x14ac:dyDescent="0.2">
      <c r="A122" t="s">
        <v>120</v>
      </c>
      <c r="B122">
        <v>252503</v>
      </c>
      <c r="C122" t="s">
        <v>146</v>
      </c>
      <c r="D122" t="s">
        <v>145</v>
      </c>
      <c r="E122" t="s">
        <v>140</v>
      </c>
      <c r="F122" t="str">
        <f t="shared" si="3"/>
        <v>15</v>
      </c>
      <c r="G122">
        <f t="shared" si="4"/>
        <v>252.50299999999999</v>
      </c>
      <c r="H122">
        <f t="shared" si="5"/>
        <v>2.4022665423584657</v>
      </c>
    </row>
    <row r="123" spans="1:8" hidden="1" x14ac:dyDescent="0.2">
      <c r="A123" t="s">
        <v>121</v>
      </c>
      <c r="B123">
        <v>252503</v>
      </c>
      <c r="C123" t="s">
        <v>146</v>
      </c>
      <c r="D123" t="s">
        <v>145</v>
      </c>
      <c r="E123" t="s">
        <v>140</v>
      </c>
      <c r="F123" t="str">
        <f t="shared" si="3"/>
        <v>17</v>
      </c>
      <c r="G123">
        <f t="shared" si="4"/>
        <v>252.50299999999999</v>
      </c>
      <c r="H123">
        <f t="shared" si="5"/>
        <v>2.4022665423584657</v>
      </c>
    </row>
    <row r="124" spans="1:8" hidden="1" x14ac:dyDescent="0.2">
      <c r="A124" t="s">
        <v>122</v>
      </c>
      <c r="B124">
        <v>252503</v>
      </c>
      <c r="C124" t="s">
        <v>146</v>
      </c>
      <c r="D124" t="s">
        <v>145</v>
      </c>
      <c r="E124" t="s">
        <v>140</v>
      </c>
      <c r="F124" t="str">
        <f t="shared" si="3"/>
        <v>19</v>
      </c>
      <c r="G124">
        <f t="shared" si="4"/>
        <v>252.50299999999999</v>
      </c>
      <c r="H124">
        <f t="shared" si="5"/>
        <v>2.4022665423584657</v>
      </c>
    </row>
    <row r="125" spans="1:8" hidden="1" x14ac:dyDescent="0.2">
      <c r="A125" t="s">
        <v>123</v>
      </c>
      <c r="B125">
        <v>252503</v>
      </c>
      <c r="C125" t="s">
        <v>146</v>
      </c>
      <c r="D125" t="s">
        <v>145</v>
      </c>
      <c r="E125" t="s">
        <v>140</v>
      </c>
      <c r="F125" t="str">
        <f t="shared" si="3"/>
        <v>19</v>
      </c>
      <c r="G125">
        <f t="shared" si="4"/>
        <v>252.50299999999999</v>
      </c>
      <c r="H125">
        <f t="shared" si="5"/>
        <v>2.4022665423584657</v>
      </c>
    </row>
    <row r="126" spans="1:8" hidden="1" x14ac:dyDescent="0.2">
      <c r="A126" t="s">
        <v>124</v>
      </c>
      <c r="B126">
        <v>252503</v>
      </c>
      <c r="C126" t="s">
        <v>146</v>
      </c>
      <c r="D126" t="s">
        <v>145</v>
      </c>
      <c r="E126" t="s">
        <v>140</v>
      </c>
      <c r="F126" t="str">
        <f t="shared" si="3"/>
        <v>20</v>
      </c>
      <c r="G126">
        <f t="shared" si="4"/>
        <v>252.50299999999999</v>
      </c>
      <c r="H126">
        <f t="shared" si="5"/>
        <v>2.4022665423584657</v>
      </c>
    </row>
    <row r="127" spans="1:8" hidden="1" x14ac:dyDescent="0.2">
      <c r="A127" t="s">
        <v>125</v>
      </c>
      <c r="B127">
        <v>252503</v>
      </c>
      <c r="C127" t="s">
        <v>146</v>
      </c>
      <c r="D127" t="s">
        <v>145</v>
      </c>
      <c r="E127" t="s">
        <v>140</v>
      </c>
      <c r="F127" t="str">
        <f t="shared" si="3"/>
        <v>7_</v>
      </c>
      <c r="G127">
        <f t="shared" si="4"/>
        <v>252.50299999999999</v>
      </c>
      <c r="H127">
        <f t="shared" si="5"/>
        <v>2.4022665423584657</v>
      </c>
    </row>
    <row r="128" spans="1:8" hidden="1" x14ac:dyDescent="0.2">
      <c r="A128" t="s">
        <v>126</v>
      </c>
      <c r="B128">
        <v>252503</v>
      </c>
      <c r="C128" t="s">
        <v>146</v>
      </c>
      <c r="D128" t="s">
        <v>145</v>
      </c>
      <c r="E128" t="s">
        <v>140</v>
      </c>
      <c r="F128" t="str">
        <f t="shared" si="3"/>
        <v>8_</v>
      </c>
      <c r="G128">
        <f t="shared" si="4"/>
        <v>252.50299999999999</v>
      </c>
      <c r="H128">
        <f t="shared" si="5"/>
        <v>2.4022665423584657</v>
      </c>
    </row>
    <row r="129" spans="1:8" hidden="1" x14ac:dyDescent="0.2">
      <c r="A129" t="s">
        <v>127</v>
      </c>
      <c r="B129">
        <v>252504</v>
      </c>
      <c r="C129" t="s">
        <v>146</v>
      </c>
      <c r="D129" t="s">
        <v>145</v>
      </c>
      <c r="E129" t="s">
        <v>140</v>
      </c>
      <c r="F129" t="str">
        <f t="shared" si="3"/>
        <v>9_</v>
      </c>
      <c r="G129">
        <f t="shared" si="4"/>
        <v>252.50399999999999</v>
      </c>
      <c r="H129">
        <f t="shared" si="5"/>
        <v>2.4022682623127709</v>
      </c>
    </row>
  </sheetData>
  <autoFilter ref="A1:H129" xr:uid="{BAB70067-3499-D742-9B1F-27656755B4DB}">
    <filterColumn colId="2">
      <filters>
        <filter val="A2C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2BA55-DBA7-4E44-958E-F80E054A3B53}">
  <sheetPr filterMode="1">
    <tabColor theme="9" tint="0.59999389629810485"/>
  </sheetPr>
  <dimension ref="A1:I81"/>
  <sheetViews>
    <sheetView zoomScale="150" zoomScaleNormal="150" workbookViewId="0">
      <selection activeCell="F62" sqref="F62"/>
    </sheetView>
  </sheetViews>
  <sheetFormatPr baseColWidth="10" defaultRowHeight="16" x14ac:dyDescent="0.2"/>
  <cols>
    <col min="1" max="1" width="47.1640625" customWidth="1"/>
    <col min="2" max="2" width="7.5" bestFit="1" customWidth="1"/>
    <col min="3" max="3" width="11" bestFit="1" customWidth="1"/>
    <col min="4" max="4" width="12.6640625" bestFit="1" customWidth="1"/>
    <col min="5" max="5" width="10.83203125" bestFit="1" customWidth="1"/>
    <col min="6" max="6" width="10.83203125" customWidth="1"/>
    <col min="9" max="9" width="4.6640625" bestFit="1" customWidth="1"/>
  </cols>
  <sheetData>
    <row r="1" spans="1:9" x14ac:dyDescent="0.2">
      <c r="A1" t="s">
        <v>128</v>
      </c>
      <c r="B1" t="s">
        <v>152</v>
      </c>
      <c r="C1" t="s">
        <v>149</v>
      </c>
      <c r="D1" t="s">
        <v>150</v>
      </c>
      <c r="E1" t="s">
        <v>151</v>
      </c>
      <c r="F1" t="s">
        <v>365</v>
      </c>
      <c r="G1" t="s">
        <v>153</v>
      </c>
      <c r="H1" t="s">
        <v>154</v>
      </c>
      <c r="I1" t="s">
        <v>131</v>
      </c>
    </row>
    <row r="2" spans="1:9" hidden="1" x14ac:dyDescent="0.2">
      <c r="A2" t="s">
        <v>155</v>
      </c>
      <c r="B2">
        <v>212792</v>
      </c>
      <c r="C2" t="s">
        <v>134</v>
      </c>
      <c r="D2" t="s">
        <v>139</v>
      </c>
      <c r="E2" t="s">
        <v>236</v>
      </c>
      <c r="F2" t="str">
        <f>MID(A2,FIND("IEEE_",A2)+5,2)</f>
        <v>01</v>
      </c>
      <c r="G2">
        <f>B2/10^3</f>
        <v>212.792</v>
      </c>
      <c r="H2">
        <f>LOG10(G2)</f>
        <v>2.3279552964558849</v>
      </c>
      <c r="I2" t="s">
        <v>235</v>
      </c>
    </row>
    <row r="3" spans="1:9" hidden="1" x14ac:dyDescent="0.2">
      <c r="A3" t="s">
        <v>156</v>
      </c>
      <c r="B3">
        <v>212791</v>
      </c>
      <c r="C3" t="s">
        <v>134</v>
      </c>
      <c r="D3" t="s">
        <v>139</v>
      </c>
      <c r="E3" t="s">
        <v>236</v>
      </c>
      <c r="F3" t="str">
        <f t="shared" ref="F3:F66" si="0">MID(A3,FIND("IEEE_",A3)+5,2)</f>
        <v>03</v>
      </c>
      <c r="G3">
        <f t="shared" ref="G3:G66" si="1">B3/10^3</f>
        <v>212.791</v>
      </c>
      <c r="H3">
        <f t="shared" ref="H3:H66" si="2">LOG10(G3)</f>
        <v>2.3279532555168347</v>
      </c>
      <c r="I3" t="s">
        <v>235</v>
      </c>
    </row>
    <row r="4" spans="1:9" hidden="1" x14ac:dyDescent="0.2">
      <c r="A4" t="s">
        <v>157</v>
      </c>
      <c r="B4">
        <v>212792</v>
      </c>
      <c r="C4" t="s">
        <v>134</v>
      </c>
      <c r="D4" t="s">
        <v>139</v>
      </c>
      <c r="E4" t="s">
        <v>236</v>
      </c>
      <c r="F4" t="str">
        <f t="shared" si="0"/>
        <v>04</v>
      </c>
      <c r="G4">
        <f t="shared" si="1"/>
        <v>212.792</v>
      </c>
      <c r="H4">
        <f t="shared" si="2"/>
        <v>2.3279552964558849</v>
      </c>
      <c r="I4" t="s">
        <v>235</v>
      </c>
    </row>
    <row r="5" spans="1:9" hidden="1" x14ac:dyDescent="0.2">
      <c r="A5" t="s">
        <v>158</v>
      </c>
      <c r="B5">
        <v>212792</v>
      </c>
      <c r="C5" t="s">
        <v>134</v>
      </c>
      <c r="D5" t="s">
        <v>139</v>
      </c>
      <c r="E5" t="s">
        <v>236</v>
      </c>
      <c r="F5" t="str">
        <f t="shared" si="0"/>
        <v>06</v>
      </c>
      <c r="G5">
        <f t="shared" si="1"/>
        <v>212.792</v>
      </c>
      <c r="H5">
        <f t="shared" si="2"/>
        <v>2.3279552964558849</v>
      </c>
      <c r="I5" t="s">
        <v>235</v>
      </c>
    </row>
    <row r="6" spans="1:9" hidden="1" x14ac:dyDescent="0.2">
      <c r="A6" t="s">
        <v>159</v>
      </c>
      <c r="B6">
        <v>212792</v>
      </c>
      <c r="C6" t="s">
        <v>134</v>
      </c>
      <c r="D6" t="s">
        <v>139</v>
      </c>
      <c r="E6" t="s">
        <v>236</v>
      </c>
      <c r="F6" t="str">
        <f t="shared" si="0"/>
        <v>08</v>
      </c>
      <c r="G6">
        <f t="shared" si="1"/>
        <v>212.792</v>
      </c>
      <c r="H6">
        <f t="shared" si="2"/>
        <v>2.3279552964558849</v>
      </c>
      <c r="I6" t="s">
        <v>235</v>
      </c>
    </row>
    <row r="7" spans="1:9" hidden="1" x14ac:dyDescent="0.2">
      <c r="A7" t="s">
        <v>160</v>
      </c>
      <c r="B7">
        <v>182296</v>
      </c>
      <c r="C7" t="s">
        <v>134</v>
      </c>
      <c r="D7" t="s">
        <v>143</v>
      </c>
      <c r="E7" t="s">
        <v>236</v>
      </c>
      <c r="F7" t="str">
        <f t="shared" si="0"/>
        <v>01</v>
      </c>
      <c r="G7">
        <f t="shared" si="1"/>
        <v>182.29599999999999</v>
      </c>
      <c r="H7">
        <f t="shared" si="2"/>
        <v>2.2607771393242779</v>
      </c>
      <c r="I7" t="s">
        <v>235</v>
      </c>
    </row>
    <row r="8" spans="1:9" hidden="1" x14ac:dyDescent="0.2">
      <c r="A8" t="s">
        <v>161</v>
      </c>
      <c r="B8">
        <v>182299</v>
      </c>
      <c r="C8" t="s">
        <v>134</v>
      </c>
      <c r="D8" t="s">
        <v>143</v>
      </c>
      <c r="E8" t="s">
        <v>236</v>
      </c>
      <c r="F8" t="str">
        <f t="shared" si="0"/>
        <v>03</v>
      </c>
      <c r="G8">
        <f t="shared" si="1"/>
        <v>182.29900000000001</v>
      </c>
      <c r="H8">
        <f t="shared" si="2"/>
        <v>2.2607842863419041</v>
      </c>
      <c r="I8" t="s">
        <v>235</v>
      </c>
    </row>
    <row r="9" spans="1:9" hidden="1" x14ac:dyDescent="0.2">
      <c r="A9" t="s">
        <v>162</v>
      </c>
      <c r="B9">
        <v>182297</v>
      </c>
      <c r="C9" t="s">
        <v>134</v>
      </c>
      <c r="D9" t="s">
        <v>143</v>
      </c>
      <c r="E9" t="s">
        <v>236</v>
      </c>
      <c r="F9" t="str">
        <f t="shared" si="0"/>
        <v>04</v>
      </c>
      <c r="G9">
        <f t="shared" si="1"/>
        <v>182.297</v>
      </c>
      <c r="H9">
        <f t="shared" si="2"/>
        <v>2.2607795216765552</v>
      </c>
      <c r="I9" t="s">
        <v>235</v>
      </c>
    </row>
    <row r="10" spans="1:9" hidden="1" x14ac:dyDescent="0.2">
      <c r="A10" t="s">
        <v>163</v>
      </c>
      <c r="B10">
        <v>182296</v>
      </c>
      <c r="C10" t="s">
        <v>134</v>
      </c>
      <c r="D10" t="s">
        <v>143</v>
      </c>
      <c r="E10" t="s">
        <v>236</v>
      </c>
      <c r="F10" t="str">
        <f t="shared" si="0"/>
        <v>06</v>
      </c>
      <c r="G10">
        <f t="shared" si="1"/>
        <v>182.29599999999999</v>
      </c>
      <c r="H10">
        <f t="shared" si="2"/>
        <v>2.2607771393242779</v>
      </c>
      <c r="I10" t="s">
        <v>235</v>
      </c>
    </row>
    <row r="11" spans="1:9" hidden="1" x14ac:dyDescent="0.2">
      <c r="A11" t="s">
        <v>164</v>
      </c>
      <c r="B11">
        <v>182297</v>
      </c>
      <c r="C11" t="s">
        <v>134</v>
      </c>
      <c r="D11" t="s">
        <v>143</v>
      </c>
      <c r="E11" t="s">
        <v>236</v>
      </c>
      <c r="F11" t="str">
        <f t="shared" si="0"/>
        <v>08</v>
      </c>
      <c r="G11">
        <f t="shared" si="1"/>
        <v>182.297</v>
      </c>
      <c r="H11">
        <f t="shared" si="2"/>
        <v>2.2607795216765552</v>
      </c>
      <c r="I11" t="s">
        <v>235</v>
      </c>
    </row>
    <row r="12" spans="1:9" hidden="1" x14ac:dyDescent="0.2">
      <c r="A12" t="s">
        <v>165</v>
      </c>
      <c r="B12">
        <v>414773</v>
      </c>
      <c r="C12" t="s">
        <v>134</v>
      </c>
      <c r="D12" t="s">
        <v>144</v>
      </c>
      <c r="E12" t="s">
        <v>236</v>
      </c>
      <c r="F12" t="str">
        <f t="shared" si="0"/>
        <v>01</v>
      </c>
      <c r="G12">
        <f t="shared" si="1"/>
        <v>414.77300000000002</v>
      </c>
      <c r="H12">
        <f t="shared" si="2"/>
        <v>2.6178104778697073</v>
      </c>
      <c r="I12" t="s">
        <v>235</v>
      </c>
    </row>
    <row r="13" spans="1:9" hidden="1" x14ac:dyDescent="0.2">
      <c r="A13" t="s">
        <v>166</v>
      </c>
      <c r="B13">
        <v>414775</v>
      </c>
      <c r="C13" t="s">
        <v>134</v>
      </c>
      <c r="D13" t="s">
        <v>144</v>
      </c>
      <c r="E13" t="s">
        <v>236</v>
      </c>
      <c r="F13" t="str">
        <f t="shared" si="0"/>
        <v>03</v>
      </c>
      <c r="G13">
        <f t="shared" si="1"/>
        <v>414.77499999999998</v>
      </c>
      <c r="H13">
        <f t="shared" si="2"/>
        <v>2.6178125719955778</v>
      </c>
      <c r="I13" t="s">
        <v>235</v>
      </c>
    </row>
    <row r="14" spans="1:9" hidden="1" x14ac:dyDescent="0.2">
      <c r="A14" t="s">
        <v>167</v>
      </c>
      <c r="B14">
        <v>414771</v>
      </c>
      <c r="C14" t="s">
        <v>134</v>
      </c>
      <c r="D14" t="s">
        <v>144</v>
      </c>
      <c r="E14" t="s">
        <v>236</v>
      </c>
      <c r="F14" t="str">
        <f t="shared" si="0"/>
        <v>04</v>
      </c>
      <c r="G14">
        <f t="shared" si="1"/>
        <v>414.77100000000002</v>
      </c>
      <c r="H14">
        <f t="shared" si="2"/>
        <v>2.6178083837337391</v>
      </c>
      <c r="I14" t="s">
        <v>235</v>
      </c>
    </row>
    <row r="15" spans="1:9" hidden="1" x14ac:dyDescent="0.2">
      <c r="A15" t="s">
        <v>168</v>
      </c>
      <c r="B15">
        <v>414770</v>
      </c>
      <c r="C15" t="s">
        <v>134</v>
      </c>
      <c r="D15" t="s">
        <v>144</v>
      </c>
      <c r="E15" t="s">
        <v>236</v>
      </c>
      <c r="F15" t="str">
        <f t="shared" si="0"/>
        <v>06</v>
      </c>
      <c r="G15">
        <f t="shared" si="1"/>
        <v>414.77</v>
      </c>
      <c r="H15">
        <f t="shared" si="2"/>
        <v>2.6178073366619681</v>
      </c>
      <c r="I15" t="s">
        <v>235</v>
      </c>
    </row>
    <row r="16" spans="1:9" hidden="1" x14ac:dyDescent="0.2">
      <c r="A16" t="s">
        <v>169</v>
      </c>
      <c r="B16">
        <v>414774</v>
      </c>
      <c r="C16" t="s">
        <v>134</v>
      </c>
      <c r="D16" t="s">
        <v>144</v>
      </c>
      <c r="E16" t="s">
        <v>236</v>
      </c>
      <c r="F16" t="str">
        <f t="shared" si="0"/>
        <v>08</v>
      </c>
      <c r="G16">
        <f t="shared" si="1"/>
        <v>414.774</v>
      </c>
      <c r="H16">
        <f t="shared" si="2"/>
        <v>2.6178115249339045</v>
      </c>
      <c r="I16" t="s">
        <v>235</v>
      </c>
    </row>
    <row r="17" spans="1:9" hidden="1" x14ac:dyDescent="0.2">
      <c r="A17" t="s">
        <v>170</v>
      </c>
      <c r="B17">
        <v>360309</v>
      </c>
      <c r="C17" t="s">
        <v>134</v>
      </c>
      <c r="D17" t="s">
        <v>145</v>
      </c>
      <c r="E17" t="s">
        <v>236</v>
      </c>
      <c r="F17" t="str">
        <f t="shared" si="0"/>
        <v>01</v>
      </c>
      <c r="G17">
        <f t="shared" si="1"/>
        <v>360.30900000000003</v>
      </c>
      <c r="H17">
        <f t="shared" si="2"/>
        <v>2.5566751103088592</v>
      </c>
      <c r="I17" t="s">
        <v>235</v>
      </c>
    </row>
    <row r="18" spans="1:9" hidden="1" x14ac:dyDescent="0.2">
      <c r="A18" t="s">
        <v>171</v>
      </c>
      <c r="B18">
        <v>360312</v>
      </c>
      <c r="C18" t="s">
        <v>134</v>
      </c>
      <c r="D18" t="s">
        <v>145</v>
      </c>
      <c r="E18" t="s">
        <v>236</v>
      </c>
      <c r="F18" t="str">
        <f t="shared" si="0"/>
        <v>03</v>
      </c>
      <c r="G18">
        <f t="shared" si="1"/>
        <v>360.31200000000001</v>
      </c>
      <c r="H18">
        <f t="shared" si="2"/>
        <v>2.5566787263107398</v>
      </c>
      <c r="I18" t="s">
        <v>235</v>
      </c>
    </row>
    <row r="19" spans="1:9" hidden="1" x14ac:dyDescent="0.2">
      <c r="A19" t="s">
        <v>172</v>
      </c>
      <c r="B19">
        <v>360310</v>
      </c>
      <c r="C19" t="s">
        <v>134</v>
      </c>
      <c r="D19" t="s">
        <v>145</v>
      </c>
      <c r="E19" t="s">
        <v>236</v>
      </c>
      <c r="F19" t="str">
        <f t="shared" si="0"/>
        <v>04</v>
      </c>
      <c r="G19">
        <f t="shared" si="1"/>
        <v>360.31</v>
      </c>
      <c r="H19">
        <f t="shared" si="2"/>
        <v>2.5566763156461647</v>
      </c>
      <c r="I19" t="s">
        <v>235</v>
      </c>
    </row>
    <row r="20" spans="1:9" hidden="1" x14ac:dyDescent="0.2">
      <c r="A20" t="s">
        <v>173</v>
      </c>
      <c r="B20">
        <v>360311</v>
      </c>
      <c r="C20" t="s">
        <v>134</v>
      </c>
      <c r="D20" t="s">
        <v>145</v>
      </c>
      <c r="E20" t="s">
        <v>236</v>
      </c>
      <c r="F20" t="str">
        <f t="shared" si="0"/>
        <v>06</v>
      </c>
      <c r="G20">
        <f t="shared" si="1"/>
        <v>360.31099999999998</v>
      </c>
      <c r="H20">
        <f t="shared" si="2"/>
        <v>2.5566775209801249</v>
      </c>
      <c r="I20" t="s">
        <v>235</v>
      </c>
    </row>
    <row r="21" spans="1:9" hidden="1" x14ac:dyDescent="0.2">
      <c r="A21" t="s">
        <v>174</v>
      </c>
      <c r="B21">
        <v>360310</v>
      </c>
      <c r="C21" t="s">
        <v>134</v>
      </c>
      <c r="D21" t="s">
        <v>145</v>
      </c>
      <c r="E21" t="s">
        <v>236</v>
      </c>
      <c r="F21" t="str">
        <f t="shared" si="0"/>
        <v>08</v>
      </c>
      <c r="G21">
        <f t="shared" si="1"/>
        <v>360.31</v>
      </c>
      <c r="H21">
        <f t="shared" si="2"/>
        <v>2.5566763156461647</v>
      </c>
      <c r="I21" t="s">
        <v>235</v>
      </c>
    </row>
    <row r="22" spans="1:9" hidden="1" x14ac:dyDescent="0.2">
      <c r="A22" t="s">
        <v>175</v>
      </c>
      <c r="B22">
        <v>259845</v>
      </c>
      <c r="C22" t="s">
        <v>135</v>
      </c>
      <c r="D22" t="s">
        <v>139</v>
      </c>
      <c r="E22" t="s">
        <v>236</v>
      </c>
      <c r="F22" t="str">
        <f t="shared" si="0"/>
        <v>01</v>
      </c>
      <c r="G22">
        <f t="shared" si="1"/>
        <v>259.84500000000003</v>
      </c>
      <c r="H22">
        <f t="shared" si="2"/>
        <v>2.4147143644403815</v>
      </c>
      <c r="I22" t="s">
        <v>235</v>
      </c>
    </row>
    <row r="23" spans="1:9" hidden="1" x14ac:dyDescent="0.2">
      <c r="A23" t="s">
        <v>176</v>
      </c>
      <c r="B23">
        <v>259849</v>
      </c>
      <c r="C23" t="s">
        <v>135</v>
      </c>
      <c r="D23" t="s">
        <v>139</v>
      </c>
      <c r="E23" t="s">
        <v>236</v>
      </c>
      <c r="F23" t="str">
        <f t="shared" si="0"/>
        <v>03</v>
      </c>
      <c r="G23">
        <f t="shared" si="1"/>
        <v>259.84899999999999</v>
      </c>
      <c r="H23">
        <f t="shared" si="2"/>
        <v>2.4147210498280431</v>
      </c>
      <c r="I23" t="s">
        <v>235</v>
      </c>
    </row>
    <row r="24" spans="1:9" hidden="1" x14ac:dyDescent="0.2">
      <c r="A24" t="s">
        <v>177</v>
      </c>
      <c r="B24">
        <v>259838</v>
      </c>
      <c r="C24" t="s">
        <v>135</v>
      </c>
      <c r="D24" t="s">
        <v>139</v>
      </c>
      <c r="E24" t="s">
        <v>236</v>
      </c>
      <c r="F24" t="str">
        <f t="shared" si="0"/>
        <v>04</v>
      </c>
      <c r="G24">
        <f t="shared" si="1"/>
        <v>259.83800000000002</v>
      </c>
      <c r="H24">
        <f t="shared" si="2"/>
        <v>2.4147026647643348</v>
      </c>
      <c r="I24" t="s">
        <v>235</v>
      </c>
    </row>
    <row r="25" spans="1:9" hidden="1" x14ac:dyDescent="0.2">
      <c r="A25" t="s">
        <v>178</v>
      </c>
      <c r="B25">
        <v>259845</v>
      </c>
      <c r="C25" t="s">
        <v>135</v>
      </c>
      <c r="D25" t="s">
        <v>139</v>
      </c>
      <c r="E25" t="s">
        <v>236</v>
      </c>
      <c r="F25" t="str">
        <f t="shared" si="0"/>
        <v>06</v>
      </c>
      <c r="G25">
        <f t="shared" si="1"/>
        <v>259.84500000000003</v>
      </c>
      <c r="H25">
        <f t="shared" si="2"/>
        <v>2.4147143644403815</v>
      </c>
      <c r="I25" t="s">
        <v>235</v>
      </c>
    </row>
    <row r="26" spans="1:9" hidden="1" x14ac:dyDescent="0.2">
      <c r="A26" t="s">
        <v>179</v>
      </c>
      <c r="B26">
        <v>259845</v>
      </c>
      <c r="C26" t="s">
        <v>135</v>
      </c>
      <c r="D26" t="s">
        <v>139</v>
      </c>
      <c r="E26" t="s">
        <v>236</v>
      </c>
      <c r="F26" t="str">
        <f t="shared" si="0"/>
        <v>08</v>
      </c>
      <c r="G26">
        <f t="shared" si="1"/>
        <v>259.84500000000003</v>
      </c>
      <c r="H26">
        <f t="shared" si="2"/>
        <v>2.4147143644403815</v>
      </c>
      <c r="I26" t="s">
        <v>235</v>
      </c>
    </row>
    <row r="27" spans="1:9" hidden="1" x14ac:dyDescent="0.2">
      <c r="A27" t="s">
        <v>180</v>
      </c>
      <c r="B27">
        <v>201528</v>
      </c>
      <c r="C27" t="s">
        <v>135</v>
      </c>
      <c r="D27" t="s">
        <v>143</v>
      </c>
      <c r="E27" t="s">
        <v>236</v>
      </c>
      <c r="F27" t="str">
        <f t="shared" si="0"/>
        <v>01</v>
      </c>
      <c r="G27">
        <f t="shared" si="1"/>
        <v>201.52799999999999</v>
      </c>
      <c r="H27">
        <f t="shared" si="2"/>
        <v>2.3043353948974308</v>
      </c>
      <c r="I27" t="s">
        <v>235</v>
      </c>
    </row>
    <row r="28" spans="1:9" hidden="1" x14ac:dyDescent="0.2">
      <c r="A28" t="s">
        <v>181</v>
      </c>
      <c r="B28">
        <v>201532</v>
      </c>
      <c r="C28" t="s">
        <v>135</v>
      </c>
      <c r="D28" t="s">
        <v>143</v>
      </c>
      <c r="E28" t="s">
        <v>236</v>
      </c>
      <c r="F28" t="str">
        <f t="shared" si="0"/>
        <v>03</v>
      </c>
      <c r="G28">
        <f t="shared" si="1"/>
        <v>201.53200000000001</v>
      </c>
      <c r="H28">
        <f t="shared" si="2"/>
        <v>2.3043440148444745</v>
      </c>
      <c r="I28" t="s">
        <v>235</v>
      </c>
    </row>
    <row r="29" spans="1:9" hidden="1" x14ac:dyDescent="0.2">
      <c r="A29" t="s">
        <v>182</v>
      </c>
      <c r="B29">
        <v>201531</v>
      </c>
      <c r="C29" t="s">
        <v>135</v>
      </c>
      <c r="D29" t="s">
        <v>143</v>
      </c>
      <c r="E29" t="s">
        <v>236</v>
      </c>
      <c r="F29" t="str">
        <f t="shared" si="0"/>
        <v>04</v>
      </c>
      <c r="G29">
        <f t="shared" si="1"/>
        <v>201.53100000000001</v>
      </c>
      <c r="H29">
        <f t="shared" si="2"/>
        <v>2.3043418598737531</v>
      </c>
      <c r="I29" t="s">
        <v>235</v>
      </c>
    </row>
    <row r="30" spans="1:9" hidden="1" x14ac:dyDescent="0.2">
      <c r="A30" t="s">
        <v>183</v>
      </c>
      <c r="B30">
        <v>201534</v>
      </c>
      <c r="C30" t="s">
        <v>135</v>
      </c>
      <c r="D30" t="s">
        <v>143</v>
      </c>
      <c r="E30" t="s">
        <v>236</v>
      </c>
      <c r="F30" t="str">
        <f t="shared" si="0"/>
        <v>06</v>
      </c>
      <c r="G30">
        <f t="shared" si="1"/>
        <v>201.53399999999999</v>
      </c>
      <c r="H30">
        <f t="shared" si="2"/>
        <v>2.3043483247538381</v>
      </c>
      <c r="I30" t="s">
        <v>235</v>
      </c>
    </row>
    <row r="31" spans="1:9" hidden="1" x14ac:dyDescent="0.2">
      <c r="A31" t="s">
        <v>184</v>
      </c>
      <c r="B31">
        <v>201534</v>
      </c>
      <c r="C31" t="s">
        <v>135</v>
      </c>
      <c r="D31" t="s">
        <v>143</v>
      </c>
      <c r="E31" t="s">
        <v>236</v>
      </c>
      <c r="F31" t="str">
        <f t="shared" si="0"/>
        <v>08</v>
      </c>
      <c r="G31">
        <f t="shared" si="1"/>
        <v>201.53399999999999</v>
      </c>
      <c r="H31">
        <f t="shared" si="2"/>
        <v>2.3043483247538381</v>
      </c>
      <c r="I31" t="s">
        <v>235</v>
      </c>
    </row>
    <row r="32" spans="1:9" hidden="1" x14ac:dyDescent="0.2">
      <c r="A32" t="s">
        <v>185</v>
      </c>
      <c r="B32">
        <v>657743</v>
      </c>
      <c r="C32" t="s">
        <v>135</v>
      </c>
      <c r="D32" t="s">
        <v>144</v>
      </c>
      <c r="E32" t="s">
        <v>236</v>
      </c>
      <c r="F32" t="str">
        <f t="shared" si="0"/>
        <v>01</v>
      </c>
      <c r="G32">
        <f t="shared" si="1"/>
        <v>657.74300000000005</v>
      </c>
      <c r="H32">
        <f t="shared" si="2"/>
        <v>2.8180562348230387</v>
      </c>
      <c r="I32" t="s">
        <v>235</v>
      </c>
    </row>
    <row r="33" spans="1:9" hidden="1" x14ac:dyDescent="0.2">
      <c r="A33" t="s">
        <v>186</v>
      </c>
      <c r="B33">
        <v>657750</v>
      </c>
      <c r="C33" t="s">
        <v>135</v>
      </c>
      <c r="D33" t="s">
        <v>144</v>
      </c>
      <c r="E33" t="s">
        <v>236</v>
      </c>
      <c r="F33" t="str">
        <f t="shared" si="0"/>
        <v>03</v>
      </c>
      <c r="G33">
        <f t="shared" si="1"/>
        <v>657.75</v>
      </c>
      <c r="H33">
        <f t="shared" si="2"/>
        <v>2.8180608567577408</v>
      </c>
      <c r="I33" t="s">
        <v>235</v>
      </c>
    </row>
    <row r="34" spans="1:9" hidden="1" x14ac:dyDescent="0.2">
      <c r="A34" t="s">
        <v>187</v>
      </c>
      <c r="B34">
        <v>657746</v>
      </c>
      <c r="C34" t="s">
        <v>135</v>
      </c>
      <c r="D34" t="s">
        <v>144</v>
      </c>
      <c r="E34" t="s">
        <v>236</v>
      </c>
      <c r="F34" t="str">
        <f t="shared" si="0"/>
        <v>04</v>
      </c>
      <c r="G34">
        <f t="shared" si="1"/>
        <v>657.74599999999998</v>
      </c>
      <c r="H34">
        <f t="shared" si="2"/>
        <v>2.8180582156582199</v>
      </c>
      <c r="I34" t="s">
        <v>235</v>
      </c>
    </row>
    <row r="35" spans="1:9" hidden="1" x14ac:dyDescent="0.2">
      <c r="A35" t="s">
        <v>188</v>
      </c>
      <c r="B35">
        <v>657743</v>
      </c>
      <c r="C35" t="s">
        <v>135</v>
      </c>
      <c r="D35" t="s">
        <v>144</v>
      </c>
      <c r="E35" t="s">
        <v>236</v>
      </c>
      <c r="F35" t="str">
        <f t="shared" si="0"/>
        <v>06</v>
      </c>
      <c r="G35">
        <f t="shared" si="1"/>
        <v>657.74300000000005</v>
      </c>
      <c r="H35">
        <f t="shared" si="2"/>
        <v>2.8180562348230387</v>
      </c>
      <c r="I35" t="s">
        <v>235</v>
      </c>
    </row>
    <row r="36" spans="1:9" hidden="1" x14ac:dyDescent="0.2">
      <c r="A36" t="s">
        <v>189</v>
      </c>
      <c r="B36">
        <v>657746</v>
      </c>
      <c r="C36" t="s">
        <v>135</v>
      </c>
      <c r="D36" t="s">
        <v>144</v>
      </c>
      <c r="E36" t="s">
        <v>236</v>
      </c>
      <c r="F36" t="str">
        <f t="shared" si="0"/>
        <v>08</v>
      </c>
      <c r="G36">
        <f t="shared" si="1"/>
        <v>657.74599999999998</v>
      </c>
      <c r="H36">
        <f t="shared" si="2"/>
        <v>2.8180582156582199</v>
      </c>
      <c r="I36" t="s">
        <v>235</v>
      </c>
    </row>
    <row r="37" spans="1:9" hidden="1" x14ac:dyDescent="0.2">
      <c r="A37" t="s">
        <v>190</v>
      </c>
      <c r="B37">
        <v>551735</v>
      </c>
      <c r="C37" t="s">
        <v>135</v>
      </c>
      <c r="D37" t="s">
        <v>145</v>
      </c>
      <c r="E37" t="s">
        <v>236</v>
      </c>
      <c r="F37" t="str">
        <f t="shared" si="0"/>
        <v>01</v>
      </c>
      <c r="G37">
        <f t="shared" si="1"/>
        <v>551.73500000000001</v>
      </c>
      <c r="H37">
        <f t="shared" si="2"/>
        <v>2.7417305348454164</v>
      </c>
      <c r="I37" t="s">
        <v>235</v>
      </c>
    </row>
    <row r="38" spans="1:9" hidden="1" x14ac:dyDescent="0.2">
      <c r="A38" t="s">
        <v>191</v>
      </c>
      <c r="B38">
        <v>551741</v>
      </c>
      <c r="C38" t="s">
        <v>135</v>
      </c>
      <c r="D38" t="s">
        <v>145</v>
      </c>
      <c r="E38" t="s">
        <v>236</v>
      </c>
      <c r="F38" t="str">
        <f t="shared" si="0"/>
        <v>03</v>
      </c>
      <c r="G38">
        <f t="shared" si="1"/>
        <v>551.74099999999999</v>
      </c>
      <c r="H38">
        <f t="shared" si="2"/>
        <v>2.7417352576792462</v>
      </c>
      <c r="I38" t="s">
        <v>235</v>
      </c>
    </row>
    <row r="39" spans="1:9" hidden="1" x14ac:dyDescent="0.2">
      <c r="A39" t="s">
        <v>192</v>
      </c>
      <c r="B39">
        <v>551737</v>
      </c>
      <c r="C39" t="s">
        <v>135</v>
      </c>
      <c r="D39" t="s">
        <v>145</v>
      </c>
      <c r="E39" t="s">
        <v>236</v>
      </c>
      <c r="F39" t="str">
        <f t="shared" si="0"/>
        <v>04</v>
      </c>
      <c r="G39">
        <f t="shared" si="1"/>
        <v>551.73699999999997</v>
      </c>
      <c r="H39">
        <f t="shared" si="2"/>
        <v>2.7417321091290661</v>
      </c>
      <c r="I39" t="s">
        <v>235</v>
      </c>
    </row>
    <row r="40" spans="1:9" hidden="1" x14ac:dyDescent="0.2">
      <c r="A40" t="s">
        <v>193</v>
      </c>
      <c r="B40">
        <v>551738</v>
      </c>
      <c r="C40" t="s">
        <v>135</v>
      </c>
      <c r="D40" t="s">
        <v>145</v>
      </c>
      <c r="E40" t="s">
        <v>236</v>
      </c>
      <c r="F40" t="str">
        <f t="shared" si="0"/>
        <v>06</v>
      </c>
      <c r="G40">
        <f t="shared" si="1"/>
        <v>551.73800000000006</v>
      </c>
      <c r="H40">
        <f t="shared" si="2"/>
        <v>2.7417328962687511</v>
      </c>
      <c r="I40" t="s">
        <v>235</v>
      </c>
    </row>
    <row r="41" spans="1:9" hidden="1" x14ac:dyDescent="0.2">
      <c r="A41" t="s">
        <v>194</v>
      </c>
      <c r="B41">
        <v>551741</v>
      </c>
      <c r="C41" t="s">
        <v>135</v>
      </c>
      <c r="D41" t="s">
        <v>145</v>
      </c>
      <c r="E41" t="s">
        <v>236</v>
      </c>
      <c r="F41" t="str">
        <f t="shared" si="0"/>
        <v>08</v>
      </c>
      <c r="G41">
        <f t="shared" si="1"/>
        <v>551.74099999999999</v>
      </c>
      <c r="H41">
        <f t="shared" si="2"/>
        <v>2.7417352576792462</v>
      </c>
      <c r="I41" t="s">
        <v>235</v>
      </c>
    </row>
    <row r="42" spans="1:9" hidden="1" x14ac:dyDescent="0.2">
      <c r="A42" t="s">
        <v>195</v>
      </c>
      <c r="B42">
        <v>113234</v>
      </c>
      <c r="C42" t="s">
        <v>136</v>
      </c>
      <c r="D42" t="s">
        <v>139</v>
      </c>
      <c r="E42" t="s">
        <v>236</v>
      </c>
      <c r="F42" t="str">
        <f t="shared" si="0"/>
        <v>01</v>
      </c>
      <c r="G42">
        <f t="shared" si="1"/>
        <v>113.23399999999999</v>
      </c>
      <c r="H42">
        <f t="shared" si="2"/>
        <v>2.0539768490723755</v>
      </c>
      <c r="I42" t="s">
        <v>235</v>
      </c>
    </row>
    <row r="43" spans="1:9" hidden="1" x14ac:dyDescent="0.2">
      <c r="A43" t="s">
        <v>196</v>
      </c>
      <c r="B43">
        <v>113234</v>
      </c>
      <c r="C43" t="s">
        <v>136</v>
      </c>
      <c r="D43" t="s">
        <v>139</v>
      </c>
      <c r="E43" t="s">
        <v>236</v>
      </c>
      <c r="F43" t="str">
        <f t="shared" si="0"/>
        <v>03</v>
      </c>
      <c r="G43">
        <f t="shared" si="1"/>
        <v>113.23399999999999</v>
      </c>
      <c r="H43">
        <f t="shared" si="2"/>
        <v>2.0539768490723755</v>
      </c>
      <c r="I43" t="s">
        <v>235</v>
      </c>
    </row>
    <row r="44" spans="1:9" hidden="1" x14ac:dyDescent="0.2">
      <c r="A44" t="s">
        <v>197</v>
      </c>
      <c r="B44">
        <v>113234</v>
      </c>
      <c r="C44" t="s">
        <v>136</v>
      </c>
      <c r="D44" t="s">
        <v>139</v>
      </c>
      <c r="E44" t="s">
        <v>236</v>
      </c>
      <c r="F44" t="str">
        <f t="shared" si="0"/>
        <v>04</v>
      </c>
      <c r="G44">
        <f t="shared" si="1"/>
        <v>113.23399999999999</v>
      </c>
      <c r="H44">
        <f t="shared" si="2"/>
        <v>2.0539768490723755</v>
      </c>
      <c r="I44" t="s">
        <v>235</v>
      </c>
    </row>
    <row r="45" spans="1:9" hidden="1" x14ac:dyDescent="0.2">
      <c r="A45" t="s">
        <v>198</v>
      </c>
      <c r="B45">
        <v>113234</v>
      </c>
      <c r="C45" t="s">
        <v>136</v>
      </c>
      <c r="D45" t="s">
        <v>139</v>
      </c>
      <c r="E45" t="s">
        <v>236</v>
      </c>
      <c r="F45" t="str">
        <f t="shared" si="0"/>
        <v>06</v>
      </c>
      <c r="G45">
        <f t="shared" si="1"/>
        <v>113.23399999999999</v>
      </c>
      <c r="H45">
        <f t="shared" si="2"/>
        <v>2.0539768490723755</v>
      </c>
      <c r="I45" t="s">
        <v>235</v>
      </c>
    </row>
    <row r="46" spans="1:9" hidden="1" x14ac:dyDescent="0.2">
      <c r="A46" t="s">
        <v>199</v>
      </c>
      <c r="B46">
        <v>113235</v>
      </c>
      <c r="C46" t="s">
        <v>136</v>
      </c>
      <c r="D46" t="s">
        <v>139</v>
      </c>
      <c r="E46" t="s">
        <v>236</v>
      </c>
      <c r="F46" t="str">
        <f t="shared" si="0"/>
        <v>08</v>
      </c>
      <c r="G46">
        <f t="shared" si="1"/>
        <v>113.235</v>
      </c>
      <c r="H46">
        <f t="shared" si="2"/>
        <v>2.0539806844271653</v>
      </c>
      <c r="I46" t="s">
        <v>235</v>
      </c>
    </row>
    <row r="47" spans="1:9" hidden="1" x14ac:dyDescent="0.2">
      <c r="A47" t="s">
        <v>200</v>
      </c>
      <c r="B47">
        <v>97635</v>
      </c>
      <c r="C47" t="s">
        <v>136</v>
      </c>
      <c r="D47" t="s">
        <v>143</v>
      </c>
      <c r="E47" t="s">
        <v>236</v>
      </c>
      <c r="F47" t="str">
        <f t="shared" si="0"/>
        <v>01</v>
      </c>
      <c r="G47">
        <f t="shared" si="1"/>
        <v>97.635000000000005</v>
      </c>
      <c r="H47">
        <f t="shared" si="2"/>
        <v>1.9896055305975644</v>
      </c>
      <c r="I47" t="s">
        <v>235</v>
      </c>
    </row>
    <row r="48" spans="1:9" hidden="1" x14ac:dyDescent="0.2">
      <c r="A48" t="s">
        <v>201</v>
      </c>
      <c r="B48">
        <v>97635</v>
      </c>
      <c r="C48" t="s">
        <v>136</v>
      </c>
      <c r="D48" t="s">
        <v>143</v>
      </c>
      <c r="E48" t="s">
        <v>236</v>
      </c>
      <c r="F48" t="str">
        <f t="shared" si="0"/>
        <v>03</v>
      </c>
      <c r="G48">
        <f t="shared" si="1"/>
        <v>97.635000000000005</v>
      </c>
      <c r="H48">
        <f t="shared" si="2"/>
        <v>1.9896055305975644</v>
      </c>
      <c r="I48" t="s">
        <v>235</v>
      </c>
    </row>
    <row r="49" spans="1:9" hidden="1" x14ac:dyDescent="0.2">
      <c r="A49" t="s">
        <v>202</v>
      </c>
      <c r="B49">
        <v>97636</v>
      </c>
      <c r="C49" t="s">
        <v>136</v>
      </c>
      <c r="D49" t="s">
        <v>143</v>
      </c>
      <c r="E49" t="s">
        <v>236</v>
      </c>
      <c r="F49" t="str">
        <f t="shared" si="0"/>
        <v>04</v>
      </c>
      <c r="G49">
        <f t="shared" si="1"/>
        <v>97.635999999999996</v>
      </c>
      <c r="H49">
        <f t="shared" si="2"/>
        <v>1.9896099787181958</v>
      </c>
      <c r="I49" t="s">
        <v>235</v>
      </c>
    </row>
    <row r="50" spans="1:9" hidden="1" x14ac:dyDescent="0.2">
      <c r="A50" t="s">
        <v>203</v>
      </c>
      <c r="B50">
        <v>97636</v>
      </c>
      <c r="C50" t="s">
        <v>136</v>
      </c>
      <c r="D50" t="s">
        <v>143</v>
      </c>
      <c r="E50" t="s">
        <v>236</v>
      </c>
      <c r="F50" t="str">
        <f t="shared" si="0"/>
        <v>06</v>
      </c>
      <c r="G50">
        <f t="shared" si="1"/>
        <v>97.635999999999996</v>
      </c>
      <c r="H50">
        <f t="shared" si="2"/>
        <v>1.9896099787181958</v>
      </c>
      <c r="I50" t="s">
        <v>235</v>
      </c>
    </row>
    <row r="51" spans="1:9" hidden="1" x14ac:dyDescent="0.2">
      <c r="A51" t="s">
        <v>204</v>
      </c>
      <c r="B51">
        <v>97636</v>
      </c>
      <c r="C51" t="s">
        <v>136</v>
      </c>
      <c r="D51" t="s">
        <v>143</v>
      </c>
      <c r="E51" t="s">
        <v>236</v>
      </c>
      <c r="F51" t="str">
        <f t="shared" si="0"/>
        <v>08</v>
      </c>
      <c r="G51">
        <f t="shared" si="1"/>
        <v>97.635999999999996</v>
      </c>
      <c r="H51">
        <f t="shared" si="2"/>
        <v>1.9896099787181958</v>
      </c>
      <c r="I51" t="s">
        <v>235</v>
      </c>
    </row>
    <row r="52" spans="1:9" hidden="1" x14ac:dyDescent="0.2">
      <c r="A52" t="s">
        <v>205</v>
      </c>
      <c r="B52">
        <v>214530</v>
      </c>
      <c r="C52" t="s">
        <v>136</v>
      </c>
      <c r="D52" t="s">
        <v>144</v>
      </c>
      <c r="E52" t="s">
        <v>236</v>
      </c>
      <c r="F52" t="str">
        <f t="shared" si="0"/>
        <v>01</v>
      </c>
      <c r="G52">
        <f t="shared" si="1"/>
        <v>214.53</v>
      </c>
      <c r="H52">
        <f t="shared" si="2"/>
        <v>2.3314880327605318</v>
      </c>
      <c r="I52" t="s">
        <v>235</v>
      </c>
    </row>
    <row r="53" spans="1:9" hidden="1" x14ac:dyDescent="0.2">
      <c r="A53" t="s">
        <v>206</v>
      </c>
      <c r="B53">
        <v>214530</v>
      </c>
      <c r="C53" t="s">
        <v>136</v>
      </c>
      <c r="D53" t="s">
        <v>144</v>
      </c>
      <c r="E53" t="s">
        <v>236</v>
      </c>
      <c r="F53" t="str">
        <f t="shared" si="0"/>
        <v>03</v>
      </c>
      <c r="G53">
        <f t="shared" si="1"/>
        <v>214.53</v>
      </c>
      <c r="H53">
        <f t="shared" si="2"/>
        <v>2.3314880327605318</v>
      </c>
      <c r="I53" t="s">
        <v>235</v>
      </c>
    </row>
    <row r="54" spans="1:9" hidden="1" x14ac:dyDescent="0.2">
      <c r="A54" t="s">
        <v>207</v>
      </c>
      <c r="B54">
        <v>214529</v>
      </c>
      <c r="C54" t="s">
        <v>136</v>
      </c>
      <c r="D54" t="s">
        <v>144</v>
      </c>
      <c r="E54" t="s">
        <v>236</v>
      </c>
      <c r="F54" t="str">
        <f t="shared" si="0"/>
        <v>04</v>
      </c>
      <c r="G54">
        <f t="shared" si="1"/>
        <v>214.529</v>
      </c>
      <c r="H54">
        <f t="shared" si="2"/>
        <v>2.3314860083560474</v>
      </c>
      <c r="I54" t="s">
        <v>235</v>
      </c>
    </row>
    <row r="55" spans="1:9" hidden="1" x14ac:dyDescent="0.2">
      <c r="A55" t="s">
        <v>208</v>
      </c>
      <c r="B55">
        <v>214529</v>
      </c>
      <c r="C55" t="s">
        <v>136</v>
      </c>
      <c r="D55" t="s">
        <v>144</v>
      </c>
      <c r="E55" t="s">
        <v>236</v>
      </c>
      <c r="F55" t="str">
        <f t="shared" si="0"/>
        <v>06</v>
      </c>
      <c r="G55">
        <f t="shared" si="1"/>
        <v>214.529</v>
      </c>
      <c r="H55">
        <f t="shared" si="2"/>
        <v>2.3314860083560474</v>
      </c>
      <c r="I55" t="s">
        <v>235</v>
      </c>
    </row>
    <row r="56" spans="1:9" hidden="1" x14ac:dyDescent="0.2">
      <c r="A56" t="s">
        <v>209</v>
      </c>
      <c r="B56">
        <v>214530</v>
      </c>
      <c r="C56" t="s">
        <v>136</v>
      </c>
      <c r="D56" t="s">
        <v>144</v>
      </c>
      <c r="E56" t="s">
        <v>236</v>
      </c>
      <c r="F56" t="str">
        <f t="shared" si="0"/>
        <v>08</v>
      </c>
      <c r="G56">
        <f t="shared" si="1"/>
        <v>214.53</v>
      </c>
      <c r="H56">
        <f t="shared" si="2"/>
        <v>2.3314880327605318</v>
      </c>
      <c r="I56" t="s">
        <v>235</v>
      </c>
    </row>
    <row r="57" spans="1:9" hidden="1" x14ac:dyDescent="0.2">
      <c r="A57" t="s">
        <v>210</v>
      </c>
      <c r="B57">
        <v>252120</v>
      </c>
      <c r="C57" t="s">
        <v>136</v>
      </c>
      <c r="D57" t="s">
        <v>145</v>
      </c>
      <c r="E57" t="s">
        <v>236</v>
      </c>
      <c r="F57" t="str">
        <f t="shared" si="0"/>
        <v>01</v>
      </c>
      <c r="G57">
        <f t="shared" si="1"/>
        <v>252.12</v>
      </c>
      <c r="H57">
        <f t="shared" si="2"/>
        <v>2.4016072984535772</v>
      </c>
      <c r="I57" t="s">
        <v>235</v>
      </c>
    </row>
    <row r="58" spans="1:9" hidden="1" x14ac:dyDescent="0.2">
      <c r="A58" t="s">
        <v>211</v>
      </c>
      <c r="B58">
        <v>252120</v>
      </c>
      <c r="C58" t="s">
        <v>136</v>
      </c>
      <c r="D58" t="s">
        <v>145</v>
      </c>
      <c r="E58" t="s">
        <v>236</v>
      </c>
      <c r="F58" t="str">
        <f t="shared" si="0"/>
        <v>03</v>
      </c>
      <c r="G58">
        <f t="shared" si="1"/>
        <v>252.12</v>
      </c>
      <c r="H58">
        <f t="shared" si="2"/>
        <v>2.4016072984535772</v>
      </c>
      <c r="I58" t="s">
        <v>235</v>
      </c>
    </row>
    <row r="59" spans="1:9" hidden="1" x14ac:dyDescent="0.2">
      <c r="A59" t="s">
        <v>212</v>
      </c>
      <c r="B59">
        <v>252121</v>
      </c>
      <c r="C59" t="s">
        <v>136</v>
      </c>
      <c r="D59" t="s">
        <v>145</v>
      </c>
      <c r="E59" t="s">
        <v>236</v>
      </c>
      <c r="F59" t="str">
        <f t="shared" si="0"/>
        <v>04</v>
      </c>
      <c r="G59">
        <f t="shared" si="1"/>
        <v>252.12100000000001</v>
      </c>
      <c r="H59">
        <f t="shared" si="2"/>
        <v>2.4016090210206906</v>
      </c>
      <c r="I59" t="s">
        <v>235</v>
      </c>
    </row>
    <row r="60" spans="1:9" hidden="1" x14ac:dyDescent="0.2">
      <c r="A60" t="s">
        <v>213</v>
      </c>
      <c r="B60">
        <v>252121</v>
      </c>
      <c r="C60" t="s">
        <v>136</v>
      </c>
      <c r="D60" t="s">
        <v>145</v>
      </c>
      <c r="E60" t="s">
        <v>236</v>
      </c>
      <c r="F60" t="str">
        <f t="shared" si="0"/>
        <v>06</v>
      </c>
      <c r="G60">
        <f t="shared" si="1"/>
        <v>252.12100000000001</v>
      </c>
      <c r="H60">
        <f t="shared" si="2"/>
        <v>2.4016090210206906</v>
      </c>
      <c r="I60" t="s">
        <v>235</v>
      </c>
    </row>
    <row r="61" spans="1:9" hidden="1" x14ac:dyDescent="0.2">
      <c r="A61" t="s">
        <v>214</v>
      </c>
      <c r="B61">
        <v>252120</v>
      </c>
      <c r="C61" t="s">
        <v>136</v>
      </c>
      <c r="D61" t="s">
        <v>145</v>
      </c>
      <c r="E61" t="s">
        <v>236</v>
      </c>
      <c r="F61" t="str">
        <f t="shared" si="0"/>
        <v>08</v>
      </c>
      <c r="G61">
        <f t="shared" si="1"/>
        <v>252.12</v>
      </c>
      <c r="H61">
        <f t="shared" si="2"/>
        <v>2.4016072984535772</v>
      </c>
      <c r="I61" t="s">
        <v>235</v>
      </c>
    </row>
    <row r="62" spans="1:9" x14ac:dyDescent="0.2">
      <c r="A62" t="s">
        <v>215</v>
      </c>
      <c r="B62">
        <v>112808</v>
      </c>
      <c r="C62" t="s">
        <v>146</v>
      </c>
      <c r="D62" t="s">
        <v>139</v>
      </c>
      <c r="E62" t="s">
        <v>236</v>
      </c>
      <c r="F62" t="str">
        <f t="shared" si="0"/>
        <v>01</v>
      </c>
      <c r="G62">
        <f t="shared" si="1"/>
        <v>112.80800000000001</v>
      </c>
      <c r="H62">
        <f t="shared" si="2"/>
        <v>2.0523398995822255</v>
      </c>
      <c r="I62" t="s">
        <v>235</v>
      </c>
    </row>
    <row r="63" spans="1:9" x14ac:dyDescent="0.2">
      <c r="A63" t="s">
        <v>216</v>
      </c>
      <c r="B63">
        <v>112808</v>
      </c>
      <c r="C63" t="s">
        <v>146</v>
      </c>
      <c r="D63" t="s">
        <v>139</v>
      </c>
      <c r="E63" t="s">
        <v>236</v>
      </c>
      <c r="F63" t="str">
        <f t="shared" si="0"/>
        <v>03</v>
      </c>
      <c r="G63">
        <f t="shared" si="1"/>
        <v>112.80800000000001</v>
      </c>
      <c r="H63">
        <f t="shared" si="2"/>
        <v>2.0523398995822255</v>
      </c>
      <c r="I63" t="s">
        <v>235</v>
      </c>
    </row>
    <row r="64" spans="1:9" x14ac:dyDescent="0.2">
      <c r="A64" t="s">
        <v>217</v>
      </c>
      <c r="B64">
        <v>112808</v>
      </c>
      <c r="C64" t="s">
        <v>146</v>
      </c>
      <c r="D64" t="s">
        <v>139</v>
      </c>
      <c r="E64" t="s">
        <v>236</v>
      </c>
      <c r="F64" t="str">
        <f t="shared" si="0"/>
        <v>04</v>
      </c>
      <c r="G64">
        <f t="shared" si="1"/>
        <v>112.80800000000001</v>
      </c>
      <c r="H64">
        <f t="shared" si="2"/>
        <v>2.0523398995822255</v>
      </c>
      <c r="I64" t="s">
        <v>235</v>
      </c>
    </row>
    <row r="65" spans="1:9" x14ac:dyDescent="0.2">
      <c r="A65" t="s">
        <v>218</v>
      </c>
      <c r="B65">
        <v>112808</v>
      </c>
      <c r="C65" t="s">
        <v>146</v>
      </c>
      <c r="D65" t="s">
        <v>139</v>
      </c>
      <c r="E65" t="s">
        <v>236</v>
      </c>
      <c r="F65" t="str">
        <f t="shared" si="0"/>
        <v>06</v>
      </c>
      <c r="G65">
        <f t="shared" si="1"/>
        <v>112.80800000000001</v>
      </c>
      <c r="H65">
        <f t="shared" si="2"/>
        <v>2.0523398995822255</v>
      </c>
      <c r="I65" t="s">
        <v>235</v>
      </c>
    </row>
    <row r="66" spans="1:9" x14ac:dyDescent="0.2">
      <c r="A66" t="s">
        <v>219</v>
      </c>
      <c r="B66">
        <v>112808</v>
      </c>
      <c r="C66" t="s">
        <v>146</v>
      </c>
      <c r="D66" t="s">
        <v>139</v>
      </c>
      <c r="E66" t="s">
        <v>236</v>
      </c>
      <c r="F66" t="str">
        <f t="shared" si="0"/>
        <v>08</v>
      </c>
      <c r="G66">
        <f t="shared" si="1"/>
        <v>112.80800000000001</v>
      </c>
      <c r="H66">
        <f t="shared" si="2"/>
        <v>2.0523398995822255</v>
      </c>
      <c r="I66" t="s">
        <v>235</v>
      </c>
    </row>
    <row r="67" spans="1:9" x14ac:dyDescent="0.2">
      <c r="A67" t="s">
        <v>220</v>
      </c>
      <c r="B67">
        <v>97209</v>
      </c>
      <c r="C67" t="s">
        <v>146</v>
      </c>
      <c r="D67" t="s">
        <v>143</v>
      </c>
      <c r="E67" t="s">
        <v>236</v>
      </c>
      <c r="F67" t="str">
        <f t="shared" ref="F67:F81" si="3">MID(A67,FIND("IEEE_",A67)+5,2)</f>
        <v>01</v>
      </c>
      <c r="G67">
        <f t="shared" ref="G67:G81" si="4">B67/10^3</f>
        <v>97.209000000000003</v>
      </c>
      <c r="H67">
        <f t="shared" ref="H67:H81" si="5">LOG10(G67)</f>
        <v>1.98770647551673</v>
      </c>
      <c r="I67" t="s">
        <v>235</v>
      </c>
    </row>
    <row r="68" spans="1:9" x14ac:dyDescent="0.2">
      <c r="A68" t="s">
        <v>221</v>
      </c>
      <c r="B68">
        <v>97209</v>
      </c>
      <c r="C68" t="s">
        <v>146</v>
      </c>
      <c r="D68" t="s">
        <v>143</v>
      </c>
      <c r="E68" t="s">
        <v>236</v>
      </c>
      <c r="F68" t="str">
        <f t="shared" si="3"/>
        <v>03</v>
      </c>
      <c r="G68">
        <f t="shared" si="4"/>
        <v>97.209000000000003</v>
      </c>
      <c r="H68">
        <f t="shared" si="5"/>
        <v>1.98770647551673</v>
      </c>
      <c r="I68" t="s">
        <v>235</v>
      </c>
    </row>
    <row r="69" spans="1:9" x14ac:dyDescent="0.2">
      <c r="A69" t="s">
        <v>222</v>
      </c>
      <c r="B69">
        <v>97209</v>
      </c>
      <c r="C69" t="s">
        <v>146</v>
      </c>
      <c r="D69" t="s">
        <v>143</v>
      </c>
      <c r="E69" t="s">
        <v>236</v>
      </c>
      <c r="F69" t="str">
        <f t="shared" si="3"/>
        <v>04</v>
      </c>
      <c r="G69">
        <f t="shared" si="4"/>
        <v>97.209000000000003</v>
      </c>
      <c r="H69">
        <f t="shared" si="5"/>
        <v>1.98770647551673</v>
      </c>
      <c r="I69" t="s">
        <v>235</v>
      </c>
    </row>
    <row r="70" spans="1:9" x14ac:dyDescent="0.2">
      <c r="A70" t="s">
        <v>223</v>
      </c>
      <c r="B70">
        <v>97209</v>
      </c>
      <c r="C70" t="s">
        <v>146</v>
      </c>
      <c r="D70" t="s">
        <v>143</v>
      </c>
      <c r="E70" t="s">
        <v>236</v>
      </c>
      <c r="F70" t="str">
        <f t="shared" si="3"/>
        <v>06</v>
      </c>
      <c r="G70">
        <f t="shared" si="4"/>
        <v>97.209000000000003</v>
      </c>
      <c r="H70">
        <f t="shared" si="5"/>
        <v>1.98770647551673</v>
      </c>
      <c r="I70" t="s">
        <v>235</v>
      </c>
    </row>
    <row r="71" spans="1:9" x14ac:dyDescent="0.2">
      <c r="A71" t="s">
        <v>224</v>
      </c>
      <c r="B71">
        <v>97209</v>
      </c>
      <c r="C71" t="s">
        <v>146</v>
      </c>
      <c r="D71" t="s">
        <v>143</v>
      </c>
      <c r="E71" t="s">
        <v>236</v>
      </c>
      <c r="F71" t="str">
        <f t="shared" si="3"/>
        <v>08</v>
      </c>
      <c r="G71">
        <f t="shared" si="4"/>
        <v>97.209000000000003</v>
      </c>
      <c r="H71">
        <f t="shared" si="5"/>
        <v>1.98770647551673</v>
      </c>
      <c r="I71" t="s">
        <v>235</v>
      </c>
    </row>
    <row r="72" spans="1:9" x14ac:dyDescent="0.2">
      <c r="A72" t="s">
        <v>225</v>
      </c>
      <c r="B72">
        <v>214103</v>
      </c>
      <c r="C72" t="s">
        <v>146</v>
      </c>
      <c r="D72" t="s">
        <v>144</v>
      </c>
      <c r="E72" t="s">
        <v>236</v>
      </c>
      <c r="F72" t="str">
        <f t="shared" si="3"/>
        <v>01</v>
      </c>
      <c r="G72">
        <f t="shared" si="4"/>
        <v>214.10300000000001</v>
      </c>
      <c r="H72">
        <f t="shared" si="5"/>
        <v>2.3306227526485612</v>
      </c>
      <c r="I72" t="s">
        <v>235</v>
      </c>
    </row>
    <row r="73" spans="1:9" x14ac:dyDescent="0.2">
      <c r="A73" t="s">
        <v>226</v>
      </c>
      <c r="B73">
        <v>214103</v>
      </c>
      <c r="C73" t="s">
        <v>146</v>
      </c>
      <c r="D73" t="s">
        <v>144</v>
      </c>
      <c r="E73" t="s">
        <v>236</v>
      </c>
      <c r="F73" t="str">
        <f t="shared" si="3"/>
        <v>03</v>
      </c>
      <c r="G73">
        <f t="shared" si="4"/>
        <v>214.10300000000001</v>
      </c>
      <c r="H73">
        <f t="shared" si="5"/>
        <v>2.3306227526485612</v>
      </c>
      <c r="I73" t="s">
        <v>235</v>
      </c>
    </row>
    <row r="74" spans="1:9" x14ac:dyDescent="0.2">
      <c r="A74" t="s">
        <v>227</v>
      </c>
      <c r="B74">
        <v>214103</v>
      </c>
      <c r="C74" t="s">
        <v>146</v>
      </c>
      <c r="D74" t="s">
        <v>144</v>
      </c>
      <c r="E74" t="s">
        <v>236</v>
      </c>
      <c r="F74" t="str">
        <f t="shared" si="3"/>
        <v>04</v>
      </c>
      <c r="G74">
        <f t="shared" si="4"/>
        <v>214.10300000000001</v>
      </c>
      <c r="H74">
        <f t="shared" si="5"/>
        <v>2.3306227526485612</v>
      </c>
      <c r="I74" t="s">
        <v>235</v>
      </c>
    </row>
    <row r="75" spans="1:9" x14ac:dyDescent="0.2">
      <c r="A75" t="s">
        <v>228</v>
      </c>
      <c r="B75">
        <v>214104</v>
      </c>
      <c r="C75" t="s">
        <v>146</v>
      </c>
      <c r="D75" t="s">
        <v>144</v>
      </c>
      <c r="E75" t="s">
        <v>236</v>
      </c>
      <c r="F75" t="str">
        <f t="shared" si="3"/>
        <v>06</v>
      </c>
      <c r="G75">
        <f t="shared" si="4"/>
        <v>214.10400000000001</v>
      </c>
      <c r="H75">
        <f t="shared" si="5"/>
        <v>2.3306247810809873</v>
      </c>
      <c r="I75" t="s">
        <v>235</v>
      </c>
    </row>
    <row r="76" spans="1:9" x14ac:dyDescent="0.2">
      <c r="A76" t="s">
        <v>229</v>
      </c>
      <c r="B76">
        <v>214103</v>
      </c>
      <c r="C76" t="s">
        <v>146</v>
      </c>
      <c r="D76" t="s">
        <v>144</v>
      </c>
      <c r="E76" t="s">
        <v>236</v>
      </c>
      <c r="F76" t="str">
        <f t="shared" si="3"/>
        <v>08</v>
      </c>
      <c r="G76">
        <f t="shared" si="4"/>
        <v>214.10300000000001</v>
      </c>
      <c r="H76">
        <f t="shared" si="5"/>
        <v>2.3306227526485612</v>
      </c>
      <c r="I76" t="s">
        <v>235</v>
      </c>
    </row>
    <row r="77" spans="1:9" x14ac:dyDescent="0.2">
      <c r="A77" t="s">
        <v>230</v>
      </c>
      <c r="B77">
        <v>251695</v>
      </c>
      <c r="C77" t="s">
        <v>146</v>
      </c>
      <c r="D77" t="s">
        <v>145</v>
      </c>
      <c r="E77" t="s">
        <v>236</v>
      </c>
      <c r="F77" t="str">
        <f t="shared" si="3"/>
        <v>01</v>
      </c>
      <c r="G77">
        <f t="shared" si="4"/>
        <v>251.69499999999999</v>
      </c>
      <c r="H77">
        <f t="shared" si="5"/>
        <v>2.4008745882381608</v>
      </c>
      <c r="I77" t="s">
        <v>235</v>
      </c>
    </row>
    <row r="78" spans="1:9" x14ac:dyDescent="0.2">
      <c r="A78" t="s">
        <v>231</v>
      </c>
      <c r="B78">
        <v>251694</v>
      </c>
      <c r="C78" t="s">
        <v>146</v>
      </c>
      <c r="D78" t="s">
        <v>145</v>
      </c>
      <c r="E78" t="s">
        <v>236</v>
      </c>
      <c r="F78" t="str">
        <f t="shared" si="3"/>
        <v>03</v>
      </c>
      <c r="G78">
        <f t="shared" si="4"/>
        <v>251.69399999999999</v>
      </c>
      <c r="H78">
        <f t="shared" si="5"/>
        <v>2.4008728627555542</v>
      </c>
      <c r="I78" t="s">
        <v>235</v>
      </c>
    </row>
    <row r="79" spans="1:9" x14ac:dyDescent="0.2">
      <c r="A79" t="s">
        <v>232</v>
      </c>
      <c r="B79">
        <v>251694</v>
      </c>
      <c r="C79" t="s">
        <v>146</v>
      </c>
      <c r="D79" t="s">
        <v>145</v>
      </c>
      <c r="E79" t="s">
        <v>236</v>
      </c>
      <c r="F79" t="str">
        <f t="shared" si="3"/>
        <v>04</v>
      </c>
      <c r="G79">
        <f t="shared" si="4"/>
        <v>251.69399999999999</v>
      </c>
      <c r="H79">
        <f t="shared" si="5"/>
        <v>2.4008728627555542</v>
      </c>
      <c r="I79" t="s">
        <v>235</v>
      </c>
    </row>
    <row r="80" spans="1:9" x14ac:dyDescent="0.2">
      <c r="A80" t="s">
        <v>233</v>
      </c>
      <c r="B80">
        <v>251694</v>
      </c>
      <c r="C80" t="s">
        <v>146</v>
      </c>
      <c r="D80" t="s">
        <v>145</v>
      </c>
      <c r="E80" t="s">
        <v>236</v>
      </c>
      <c r="F80" t="str">
        <f t="shared" si="3"/>
        <v>06</v>
      </c>
      <c r="G80">
        <f t="shared" si="4"/>
        <v>251.69399999999999</v>
      </c>
      <c r="H80">
        <f t="shared" si="5"/>
        <v>2.4008728627555542</v>
      </c>
      <c r="I80" t="s">
        <v>235</v>
      </c>
    </row>
    <row r="81" spans="1:9" x14ac:dyDescent="0.2">
      <c r="A81" t="s">
        <v>234</v>
      </c>
      <c r="B81">
        <v>251694</v>
      </c>
      <c r="C81" t="s">
        <v>146</v>
      </c>
      <c r="D81" t="s">
        <v>145</v>
      </c>
      <c r="E81" t="s">
        <v>236</v>
      </c>
      <c r="F81" t="str">
        <f t="shared" si="3"/>
        <v>08</v>
      </c>
      <c r="G81">
        <f t="shared" si="4"/>
        <v>251.69399999999999</v>
      </c>
      <c r="H81">
        <f t="shared" si="5"/>
        <v>2.4008728627555542</v>
      </c>
      <c r="I81" t="s">
        <v>235</v>
      </c>
    </row>
  </sheetData>
  <autoFilter ref="A1:I81" xr:uid="{2722BA55-DBA7-4E44-958E-F80E054A3B53}">
    <filterColumn colId="2">
      <filters>
        <filter val="REINFORCE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7C9B8-DF69-2E42-BA24-07CA2F8EBE79}">
  <dimension ref="A1:M129"/>
  <sheetViews>
    <sheetView zoomScale="150" zoomScaleNormal="150" workbookViewId="0">
      <selection activeCell="E1" sqref="E1"/>
    </sheetView>
  </sheetViews>
  <sheetFormatPr baseColWidth="10" defaultRowHeight="16" x14ac:dyDescent="0.2"/>
  <cols>
    <col min="1" max="1" width="57.83203125" bestFit="1" customWidth="1"/>
    <col min="2" max="2" width="7.1640625" bestFit="1" customWidth="1"/>
    <col min="3" max="3" width="13.33203125" bestFit="1" customWidth="1"/>
    <col min="6" max="6" width="11" bestFit="1" customWidth="1"/>
    <col min="13" max="13" width="14" bestFit="1" customWidth="1"/>
  </cols>
  <sheetData>
    <row r="1" spans="1:13" x14ac:dyDescent="0.2">
      <c r="A1" t="s">
        <v>128</v>
      </c>
      <c r="B1" t="s">
        <v>129</v>
      </c>
      <c r="C1" t="s">
        <v>130</v>
      </c>
      <c r="D1" t="s">
        <v>132</v>
      </c>
      <c r="F1" t="s">
        <v>128</v>
      </c>
    </row>
    <row r="2" spans="1:13" x14ac:dyDescent="0.2">
      <c r="A2" t="s">
        <v>0</v>
      </c>
      <c r="B2">
        <v>214372</v>
      </c>
      <c r="C2" s="1">
        <v>38412.622812499998</v>
      </c>
      <c r="D2" t="str">
        <f>LEFT(A2,3)</f>
        <v>A2C</v>
      </c>
      <c r="E2" t="str">
        <f>LEFT(B2,3)</f>
        <v>214</v>
      </c>
      <c r="F2" t="s">
        <v>134</v>
      </c>
      <c r="G2" t="s">
        <v>139</v>
      </c>
      <c r="H2" t="s">
        <v>140</v>
      </c>
      <c r="I2">
        <v>15</v>
      </c>
      <c r="J2">
        <v>500</v>
      </c>
      <c r="K2" s="4">
        <v>1E-4</v>
      </c>
      <c r="L2">
        <v>99</v>
      </c>
      <c r="M2" t="s">
        <v>141</v>
      </c>
    </row>
    <row r="3" spans="1:13" x14ac:dyDescent="0.2">
      <c r="A3" t="s">
        <v>1</v>
      </c>
      <c r="B3">
        <v>214372</v>
      </c>
      <c r="C3" s="1">
        <v>38412.626527777778</v>
      </c>
      <c r="D3" t="str">
        <f t="shared" ref="D3:D34" si="0">LEFT(A3,3)</f>
        <v>A2C</v>
      </c>
      <c r="F3" t="s">
        <v>134</v>
      </c>
      <c r="G3" t="s">
        <v>139</v>
      </c>
      <c r="H3" t="s">
        <v>140</v>
      </c>
      <c r="I3">
        <v>17</v>
      </c>
      <c r="J3">
        <v>500</v>
      </c>
      <c r="K3" s="4">
        <v>1E-4</v>
      </c>
      <c r="L3">
        <v>99</v>
      </c>
      <c r="M3" t="s">
        <v>141</v>
      </c>
    </row>
    <row r="4" spans="1:13" x14ac:dyDescent="0.2">
      <c r="A4" t="s">
        <v>2</v>
      </c>
      <c r="B4">
        <v>214372</v>
      </c>
      <c r="C4" s="1">
        <v>38412.629999999997</v>
      </c>
      <c r="D4" t="str">
        <f t="shared" si="0"/>
        <v>A2C</v>
      </c>
      <c r="F4" t="s">
        <v>134</v>
      </c>
      <c r="G4" t="s">
        <v>139</v>
      </c>
      <c r="H4" t="s">
        <v>140</v>
      </c>
      <c r="I4">
        <v>19</v>
      </c>
      <c r="J4">
        <v>500</v>
      </c>
      <c r="K4" s="4">
        <v>1E-4</v>
      </c>
      <c r="L4">
        <v>99</v>
      </c>
      <c r="M4" t="s">
        <v>141</v>
      </c>
    </row>
    <row r="5" spans="1:13" x14ac:dyDescent="0.2">
      <c r="A5" t="s">
        <v>3</v>
      </c>
      <c r="B5">
        <v>214372</v>
      </c>
      <c r="C5" s="1">
        <v>40969.369571759256</v>
      </c>
      <c r="D5" t="str">
        <f t="shared" si="0"/>
        <v>A2C</v>
      </c>
      <c r="F5" t="s">
        <v>134</v>
      </c>
      <c r="G5" t="s">
        <v>139</v>
      </c>
      <c r="H5" t="s">
        <v>140</v>
      </c>
      <c r="I5">
        <v>19</v>
      </c>
      <c r="J5">
        <v>500</v>
      </c>
      <c r="K5" s="4">
        <v>1E-4</v>
      </c>
      <c r="L5">
        <v>99</v>
      </c>
      <c r="M5" t="s">
        <v>142</v>
      </c>
    </row>
    <row r="6" spans="1:13" x14ac:dyDescent="0.2">
      <c r="A6" t="s">
        <v>4</v>
      </c>
      <c r="B6">
        <v>214372</v>
      </c>
      <c r="C6" s="1">
        <v>40969.371134259258</v>
      </c>
      <c r="D6" t="str">
        <f t="shared" si="0"/>
        <v>A2C</v>
      </c>
      <c r="F6" t="s">
        <v>134</v>
      </c>
      <c r="G6" t="s">
        <v>139</v>
      </c>
      <c r="H6" t="s">
        <v>140</v>
      </c>
      <c r="I6">
        <v>20</v>
      </c>
      <c r="J6">
        <v>500</v>
      </c>
      <c r="K6" s="4">
        <v>1E-4</v>
      </c>
      <c r="L6">
        <v>99</v>
      </c>
      <c r="M6" t="s">
        <v>142</v>
      </c>
    </row>
    <row r="7" spans="1:13" x14ac:dyDescent="0.2">
      <c r="A7" t="s">
        <v>5</v>
      </c>
      <c r="B7">
        <v>214382</v>
      </c>
      <c r="C7" s="1">
        <v>40969.374710648146</v>
      </c>
      <c r="D7" t="str">
        <f t="shared" si="0"/>
        <v>A2C</v>
      </c>
      <c r="F7" t="s">
        <v>134</v>
      </c>
      <c r="G7" t="s">
        <v>139</v>
      </c>
      <c r="H7" t="s">
        <v>140</v>
      </c>
      <c r="I7">
        <v>7</v>
      </c>
      <c r="J7">
        <v>500</v>
      </c>
      <c r="K7" s="4">
        <v>1E-4</v>
      </c>
      <c r="L7">
        <v>99</v>
      </c>
      <c r="M7" t="s">
        <v>142</v>
      </c>
    </row>
    <row r="8" spans="1:13" x14ac:dyDescent="0.2">
      <c r="A8" t="s">
        <v>6</v>
      </c>
      <c r="B8">
        <v>214372</v>
      </c>
      <c r="C8" s="1">
        <v>40969.381712962961</v>
      </c>
      <c r="D8" t="str">
        <f t="shared" si="0"/>
        <v>A2C</v>
      </c>
      <c r="F8" t="s">
        <v>134</v>
      </c>
      <c r="G8" t="s">
        <v>139</v>
      </c>
      <c r="H8" t="s">
        <v>140</v>
      </c>
      <c r="I8">
        <v>8</v>
      </c>
      <c r="J8">
        <v>500</v>
      </c>
      <c r="K8" s="4">
        <v>1E-4</v>
      </c>
      <c r="L8">
        <v>99</v>
      </c>
      <c r="M8" t="s">
        <v>142</v>
      </c>
    </row>
    <row r="9" spans="1:13" x14ac:dyDescent="0.2">
      <c r="A9" t="s">
        <v>7</v>
      </c>
      <c r="B9">
        <v>214370</v>
      </c>
      <c r="C9" s="1">
        <v>40969.385358796295</v>
      </c>
      <c r="D9" t="str">
        <f t="shared" si="0"/>
        <v>A2C</v>
      </c>
      <c r="F9" t="s">
        <v>134</v>
      </c>
      <c r="G9" t="s">
        <v>139</v>
      </c>
      <c r="H9" t="s">
        <v>140</v>
      </c>
      <c r="I9">
        <v>9</v>
      </c>
      <c r="J9">
        <v>500</v>
      </c>
      <c r="K9" s="4">
        <v>1E-4</v>
      </c>
      <c r="L9">
        <v>99</v>
      </c>
      <c r="M9" t="s">
        <v>142</v>
      </c>
    </row>
    <row r="10" spans="1:13" x14ac:dyDescent="0.2">
      <c r="A10" t="s">
        <v>8</v>
      </c>
      <c r="B10">
        <v>182595</v>
      </c>
      <c r="C10" s="1">
        <v>38412.62122685185</v>
      </c>
      <c r="D10" t="str">
        <f t="shared" si="0"/>
        <v>A2C</v>
      </c>
      <c r="F10" t="s">
        <v>134</v>
      </c>
      <c r="G10" t="s">
        <v>143</v>
      </c>
      <c r="H10" t="s">
        <v>140</v>
      </c>
      <c r="I10">
        <v>15</v>
      </c>
      <c r="J10">
        <v>500</v>
      </c>
      <c r="K10" s="4">
        <v>1E-4</v>
      </c>
      <c r="L10">
        <v>99</v>
      </c>
      <c r="M10" t="s">
        <v>141</v>
      </c>
    </row>
    <row r="11" spans="1:13" x14ac:dyDescent="0.2">
      <c r="A11" t="s">
        <v>9</v>
      </c>
      <c r="B11">
        <v>182595</v>
      </c>
      <c r="C11" s="1">
        <v>38412.624837962961</v>
      </c>
      <c r="D11" t="str">
        <f t="shared" si="0"/>
        <v>A2C</v>
      </c>
      <c r="F11" t="s">
        <v>134</v>
      </c>
      <c r="G11" t="s">
        <v>143</v>
      </c>
      <c r="H11" t="s">
        <v>140</v>
      </c>
      <c r="I11">
        <v>17</v>
      </c>
      <c r="J11">
        <v>500</v>
      </c>
      <c r="K11" s="4">
        <v>1E-4</v>
      </c>
      <c r="L11">
        <v>99</v>
      </c>
      <c r="M11" t="s">
        <v>141</v>
      </c>
    </row>
    <row r="12" spans="1:13" x14ac:dyDescent="0.2">
      <c r="A12" t="s">
        <v>10</v>
      </c>
      <c r="B12">
        <v>182595</v>
      </c>
      <c r="C12" s="1">
        <v>38412.628379629627</v>
      </c>
      <c r="D12" t="str">
        <f t="shared" si="0"/>
        <v>A2C</v>
      </c>
      <c r="F12" t="s">
        <v>134</v>
      </c>
      <c r="G12" t="s">
        <v>143</v>
      </c>
      <c r="H12" t="s">
        <v>140</v>
      </c>
      <c r="I12">
        <v>19</v>
      </c>
      <c r="J12">
        <v>500</v>
      </c>
      <c r="K12" s="4">
        <v>1E-4</v>
      </c>
      <c r="L12">
        <v>99</v>
      </c>
      <c r="M12" t="s">
        <v>141</v>
      </c>
    </row>
    <row r="13" spans="1:13" x14ac:dyDescent="0.2">
      <c r="A13" t="s">
        <v>11</v>
      </c>
      <c r="B13">
        <v>182595</v>
      </c>
      <c r="C13" s="1">
        <v>40969.368043981478</v>
      </c>
      <c r="D13" t="str">
        <f t="shared" si="0"/>
        <v>A2C</v>
      </c>
      <c r="F13" t="s">
        <v>134</v>
      </c>
      <c r="G13" t="s">
        <v>143</v>
      </c>
      <c r="H13" t="s">
        <v>140</v>
      </c>
      <c r="I13">
        <v>19</v>
      </c>
      <c r="J13">
        <v>500</v>
      </c>
      <c r="K13" s="4">
        <v>1E-4</v>
      </c>
      <c r="L13">
        <v>99</v>
      </c>
      <c r="M13" t="s">
        <v>142</v>
      </c>
    </row>
    <row r="14" spans="1:13" x14ac:dyDescent="0.2">
      <c r="A14" t="s">
        <v>12</v>
      </c>
      <c r="B14">
        <v>182594</v>
      </c>
      <c r="C14" s="1">
        <v>40969.370324074072</v>
      </c>
      <c r="D14" t="str">
        <f t="shared" si="0"/>
        <v>A2C</v>
      </c>
      <c r="F14" t="s">
        <v>134</v>
      </c>
      <c r="G14" t="s">
        <v>143</v>
      </c>
      <c r="H14" t="s">
        <v>140</v>
      </c>
      <c r="I14">
        <v>20</v>
      </c>
      <c r="J14">
        <v>500</v>
      </c>
      <c r="K14" s="4">
        <v>1E-4</v>
      </c>
      <c r="L14">
        <v>99</v>
      </c>
      <c r="M14" t="s">
        <v>142</v>
      </c>
    </row>
    <row r="15" spans="1:13" x14ac:dyDescent="0.2">
      <c r="A15" t="s">
        <v>13</v>
      </c>
      <c r="B15">
        <v>182595</v>
      </c>
      <c r="C15" s="1">
        <v>40969.373240740744</v>
      </c>
      <c r="D15" t="str">
        <f t="shared" si="0"/>
        <v>A2C</v>
      </c>
      <c r="F15" t="s">
        <v>134</v>
      </c>
      <c r="G15" t="s">
        <v>143</v>
      </c>
      <c r="H15" t="s">
        <v>140</v>
      </c>
      <c r="I15">
        <v>7</v>
      </c>
      <c r="J15">
        <v>500</v>
      </c>
      <c r="K15" s="4">
        <v>1E-4</v>
      </c>
      <c r="L15">
        <v>99</v>
      </c>
      <c r="M15" t="s">
        <v>142</v>
      </c>
    </row>
    <row r="16" spans="1:13" x14ac:dyDescent="0.2">
      <c r="A16" t="s">
        <v>14</v>
      </c>
      <c r="B16">
        <v>182595</v>
      </c>
      <c r="C16" s="1">
        <v>40969.380057870374</v>
      </c>
      <c r="D16" t="str">
        <f t="shared" si="0"/>
        <v>A2C</v>
      </c>
      <c r="F16" t="s">
        <v>134</v>
      </c>
      <c r="G16" t="s">
        <v>143</v>
      </c>
      <c r="H16" t="s">
        <v>140</v>
      </c>
      <c r="I16">
        <v>8</v>
      </c>
      <c r="J16">
        <v>500</v>
      </c>
      <c r="K16" s="4">
        <v>1E-4</v>
      </c>
      <c r="L16">
        <v>99</v>
      </c>
      <c r="M16" t="s">
        <v>142</v>
      </c>
    </row>
    <row r="17" spans="1:13" x14ac:dyDescent="0.2">
      <c r="A17" t="s">
        <v>15</v>
      </c>
      <c r="B17">
        <v>182595</v>
      </c>
      <c r="C17" s="1">
        <v>40969.383900462963</v>
      </c>
      <c r="D17" t="str">
        <f t="shared" si="0"/>
        <v>A2C</v>
      </c>
      <c r="F17" t="s">
        <v>134</v>
      </c>
      <c r="G17" t="s">
        <v>143</v>
      </c>
      <c r="H17" t="s">
        <v>140</v>
      </c>
      <c r="I17">
        <v>9</v>
      </c>
      <c r="J17">
        <v>500</v>
      </c>
      <c r="K17" s="4">
        <v>1E-4</v>
      </c>
      <c r="L17">
        <v>99</v>
      </c>
      <c r="M17" t="s">
        <v>142</v>
      </c>
    </row>
    <row r="18" spans="1:13" x14ac:dyDescent="0.2">
      <c r="A18" t="s">
        <v>16</v>
      </c>
      <c r="B18">
        <v>415326</v>
      </c>
      <c r="C18" s="1">
        <v>38412.623842592591</v>
      </c>
      <c r="D18" t="str">
        <f t="shared" si="0"/>
        <v>A2C</v>
      </c>
      <c r="F18" t="s">
        <v>134</v>
      </c>
      <c r="G18" t="s">
        <v>144</v>
      </c>
      <c r="H18" t="s">
        <v>140</v>
      </c>
      <c r="I18">
        <v>15</v>
      </c>
      <c r="J18">
        <v>500</v>
      </c>
      <c r="K18" s="4">
        <v>1E-4</v>
      </c>
      <c r="L18">
        <v>99</v>
      </c>
      <c r="M18" t="s">
        <v>141</v>
      </c>
    </row>
    <row r="19" spans="1:13" x14ac:dyDescent="0.2">
      <c r="A19" t="s">
        <v>17</v>
      </c>
      <c r="B19">
        <v>415327</v>
      </c>
      <c r="C19" s="1">
        <v>38412.627581018518</v>
      </c>
      <c r="D19" t="str">
        <f t="shared" si="0"/>
        <v>A2C</v>
      </c>
      <c r="F19" t="s">
        <v>134</v>
      </c>
      <c r="G19" t="s">
        <v>144</v>
      </c>
      <c r="H19" t="s">
        <v>140</v>
      </c>
      <c r="I19">
        <v>17</v>
      </c>
      <c r="J19">
        <v>500</v>
      </c>
      <c r="K19" s="4">
        <v>1E-4</v>
      </c>
      <c r="L19">
        <v>99</v>
      </c>
      <c r="M19" t="s">
        <v>141</v>
      </c>
    </row>
    <row r="20" spans="1:13" x14ac:dyDescent="0.2">
      <c r="A20" t="s">
        <v>18</v>
      </c>
      <c r="B20">
        <v>415327</v>
      </c>
      <c r="C20" s="1">
        <v>38412.631284722222</v>
      </c>
      <c r="D20" t="str">
        <f t="shared" si="0"/>
        <v>A2C</v>
      </c>
      <c r="F20" t="s">
        <v>134</v>
      </c>
      <c r="G20" t="s">
        <v>144</v>
      </c>
      <c r="H20" t="s">
        <v>140</v>
      </c>
      <c r="I20">
        <v>19</v>
      </c>
      <c r="J20">
        <v>500</v>
      </c>
      <c r="K20" s="4">
        <v>1E-4</v>
      </c>
      <c r="L20">
        <v>99</v>
      </c>
      <c r="M20" t="s">
        <v>141</v>
      </c>
    </row>
    <row r="21" spans="1:13" x14ac:dyDescent="0.2">
      <c r="A21" t="s">
        <v>19</v>
      </c>
      <c r="B21">
        <v>415324</v>
      </c>
      <c r="C21" s="1">
        <v>40969.369583333333</v>
      </c>
      <c r="D21" t="str">
        <f t="shared" si="0"/>
        <v>A2C</v>
      </c>
      <c r="F21" t="s">
        <v>134</v>
      </c>
      <c r="G21" t="s">
        <v>144</v>
      </c>
      <c r="H21" t="s">
        <v>140</v>
      </c>
      <c r="I21">
        <v>19</v>
      </c>
      <c r="J21">
        <v>500</v>
      </c>
      <c r="K21" s="4">
        <v>1E-4</v>
      </c>
      <c r="L21">
        <v>99</v>
      </c>
      <c r="M21" t="s">
        <v>142</v>
      </c>
    </row>
    <row r="22" spans="1:13" x14ac:dyDescent="0.2">
      <c r="A22" t="s">
        <v>20</v>
      </c>
      <c r="B22">
        <v>415328</v>
      </c>
      <c r="C22" s="1">
        <v>40969.37226851852</v>
      </c>
      <c r="D22" t="str">
        <f t="shared" si="0"/>
        <v>A2C</v>
      </c>
      <c r="F22" t="s">
        <v>134</v>
      </c>
      <c r="G22" t="s">
        <v>144</v>
      </c>
      <c r="H22" t="s">
        <v>140</v>
      </c>
      <c r="I22">
        <v>20</v>
      </c>
      <c r="J22">
        <v>500</v>
      </c>
      <c r="K22" s="4">
        <v>1E-4</v>
      </c>
      <c r="L22">
        <v>99</v>
      </c>
      <c r="M22" t="s">
        <v>142</v>
      </c>
    </row>
    <row r="23" spans="1:13" x14ac:dyDescent="0.2">
      <c r="A23" t="s">
        <v>21</v>
      </c>
      <c r="B23">
        <v>415327</v>
      </c>
      <c r="C23" s="1">
        <v>40969.375833333332</v>
      </c>
      <c r="D23" t="str">
        <f t="shared" si="0"/>
        <v>A2C</v>
      </c>
      <c r="F23" t="s">
        <v>134</v>
      </c>
      <c r="G23" t="s">
        <v>144</v>
      </c>
      <c r="H23" t="s">
        <v>140</v>
      </c>
      <c r="I23">
        <v>7</v>
      </c>
      <c r="J23">
        <v>500</v>
      </c>
      <c r="K23" s="4">
        <v>1E-4</v>
      </c>
      <c r="L23">
        <v>99</v>
      </c>
      <c r="M23" t="s">
        <v>142</v>
      </c>
    </row>
    <row r="24" spans="1:13" x14ac:dyDescent="0.2">
      <c r="A24" t="s">
        <v>22</v>
      </c>
      <c r="B24">
        <v>415338</v>
      </c>
      <c r="C24" s="1">
        <v>40969.383043981485</v>
      </c>
      <c r="D24" t="str">
        <f t="shared" si="0"/>
        <v>A2C</v>
      </c>
      <c r="F24" t="s">
        <v>134</v>
      </c>
      <c r="G24" t="s">
        <v>144</v>
      </c>
      <c r="H24" t="s">
        <v>140</v>
      </c>
      <c r="I24">
        <v>8</v>
      </c>
      <c r="J24">
        <v>500</v>
      </c>
      <c r="K24" s="4">
        <v>1E-4</v>
      </c>
      <c r="L24">
        <v>99</v>
      </c>
      <c r="M24" t="s">
        <v>142</v>
      </c>
    </row>
    <row r="25" spans="1:13" x14ac:dyDescent="0.2">
      <c r="A25" t="s">
        <v>23</v>
      </c>
      <c r="B25">
        <v>415324</v>
      </c>
      <c r="C25" s="1">
        <v>40969.385462962964</v>
      </c>
      <c r="D25" t="str">
        <f t="shared" si="0"/>
        <v>A2C</v>
      </c>
      <c r="F25" t="s">
        <v>134</v>
      </c>
      <c r="G25" t="s">
        <v>144</v>
      </c>
      <c r="H25" t="s">
        <v>140</v>
      </c>
      <c r="I25">
        <v>9</v>
      </c>
      <c r="J25">
        <v>500</v>
      </c>
      <c r="K25" s="4">
        <v>1E-4</v>
      </c>
      <c r="L25">
        <v>99</v>
      </c>
      <c r="M25" t="s">
        <v>142</v>
      </c>
    </row>
    <row r="26" spans="1:13" x14ac:dyDescent="0.2">
      <c r="A26" t="s">
        <v>24</v>
      </c>
      <c r="B26">
        <v>361887</v>
      </c>
      <c r="C26" s="1">
        <v>38412.62190972222</v>
      </c>
      <c r="D26" t="str">
        <f t="shared" si="0"/>
        <v>A2C</v>
      </c>
      <c r="F26" t="s">
        <v>134</v>
      </c>
      <c r="G26" t="s">
        <v>145</v>
      </c>
      <c r="H26" t="s">
        <v>140</v>
      </c>
      <c r="I26">
        <v>15</v>
      </c>
      <c r="J26">
        <v>500</v>
      </c>
      <c r="K26" s="4">
        <v>1E-4</v>
      </c>
      <c r="L26">
        <v>99</v>
      </c>
      <c r="M26" t="s">
        <v>141</v>
      </c>
    </row>
    <row r="27" spans="1:13" x14ac:dyDescent="0.2">
      <c r="A27" t="s">
        <v>25</v>
      </c>
      <c r="B27">
        <v>361887</v>
      </c>
      <c r="C27" s="1">
        <v>38412.625567129631</v>
      </c>
      <c r="D27" t="str">
        <f t="shared" si="0"/>
        <v>A2C</v>
      </c>
      <c r="F27" t="s">
        <v>134</v>
      </c>
      <c r="G27" t="s">
        <v>145</v>
      </c>
      <c r="H27" t="s">
        <v>140</v>
      </c>
      <c r="I27">
        <v>17</v>
      </c>
      <c r="J27">
        <v>500</v>
      </c>
      <c r="K27" s="4">
        <v>1E-4</v>
      </c>
      <c r="L27">
        <v>99</v>
      </c>
      <c r="M27" t="s">
        <v>141</v>
      </c>
    </row>
    <row r="28" spans="1:13" x14ac:dyDescent="0.2">
      <c r="A28" t="s">
        <v>26</v>
      </c>
      <c r="B28">
        <v>361887</v>
      </c>
      <c r="C28" s="1">
        <v>38412.629016203704</v>
      </c>
      <c r="D28" t="str">
        <f t="shared" si="0"/>
        <v>A2C</v>
      </c>
      <c r="F28" t="s">
        <v>134</v>
      </c>
      <c r="G28" t="s">
        <v>145</v>
      </c>
      <c r="H28" t="s">
        <v>140</v>
      </c>
      <c r="I28">
        <v>19</v>
      </c>
      <c r="J28">
        <v>500</v>
      </c>
      <c r="K28" s="4">
        <v>1E-4</v>
      </c>
      <c r="L28">
        <v>99</v>
      </c>
      <c r="M28" t="s">
        <v>141</v>
      </c>
    </row>
    <row r="29" spans="1:13" x14ac:dyDescent="0.2">
      <c r="A29" t="s">
        <v>27</v>
      </c>
      <c r="B29">
        <v>361887</v>
      </c>
      <c r="C29" s="1">
        <v>40969.368703703702</v>
      </c>
      <c r="D29" t="str">
        <f t="shared" si="0"/>
        <v>A2C</v>
      </c>
      <c r="F29" t="s">
        <v>134</v>
      </c>
      <c r="G29" t="s">
        <v>145</v>
      </c>
      <c r="H29" t="s">
        <v>140</v>
      </c>
      <c r="I29">
        <v>19</v>
      </c>
      <c r="J29">
        <v>500</v>
      </c>
      <c r="K29" s="4">
        <v>1E-4</v>
      </c>
      <c r="L29">
        <v>99</v>
      </c>
      <c r="M29" t="s">
        <v>142</v>
      </c>
    </row>
    <row r="30" spans="1:13" x14ac:dyDescent="0.2">
      <c r="A30" t="s">
        <v>28</v>
      </c>
      <c r="B30">
        <v>361887</v>
      </c>
      <c r="C30" s="1">
        <v>40969.370636574073</v>
      </c>
      <c r="D30" t="str">
        <f t="shared" si="0"/>
        <v>A2C</v>
      </c>
      <c r="F30" t="s">
        <v>134</v>
      </c>
      <c r="G30" t="s">
        <v>145</v>
      </c>
      <c r="H30" t="s">
        <v>140</v>
      </c>
      <c r="I30">
        <v>20</v>
      </c>
      <c r="J30">
        <v>500</v>
      </c>
      <c r="K30" s="4">
        <v>1E-4</v>
      </c>
      <c r="L30">
        <v>99</v>
      </c>
      <c r="M30" t="s">
        <v>142</v>
      </c>
    </row>
    <row r="31" spans="1:13" x14ac:dyDescent="0.2">
      <c r="A31" t="s">
        <v>29</v>
      </c>
      <c r="B31">
        <v>361888</v>
      </c>
      <c r="C31" s="1">
        <v>40969.373865740738</v>
      </c>
      <c r="D31" t="str">
        <f t="shared" si="0"/>
        <v>A2C</v>
      </c>
      <c r="F31" t="s">
        <v>134</v>
      </c>
      <c r="G31" t="s">
        <v>145</v>
      </c>
      <c r="H31" t="s">
        <v>140</v>
      </c>
      <c r="I31">
        <v>7</v>
      </c>
      <c r="J31">
        <v>500</v>
      </c>
      <c r="K31" s="4">
        <v>1E-4</v>
      </c>
      <c r="L31">
        <v>99</v>
      </c>
      <c r="M31" t="s">
        <v>142</v>
      </c>
    </row>
    <row r="32" spans="1:13" x14ac:dyDescent="0.2">
      <c r="A32" t="s">
        <v>30</v>
      </c>
      <c r="B32">
        <v>361887</v>
      </c>
      <c r="C32" s="1">
        <v>40969.380648148152</v>
      </c>
      <c r="D32" t="str">
        <f t="shared" si="0"/>
        <v>A2C</v>
      </c>
      <c r="F32" t="s">
        <v>134</v>
      </c>
      <c r="G32" t="s">
        <v>145</v>
      </c>
      <c r="H32" t="s">
        <v>140</v>
      </c>
      <c r="I32">
        <v>8</v>
      </c>
      <c r="J32">
        <v>500</v>
      </c>
      <c r="K32" s="4">
        <v>1E-4</v>
      </c>
      <c r="L32">
        <v>99</v>
      </c>
      <c r="M32" t="s">
        <v>142</v>
      </c>
    </row>
    <row r="33" spans="1:13" x14ac:dyDescent="0.2">
      <c r="A33" t="s">
        <v>31</v>
      </c>
      <c r="B33">
        <v>361888</v>
      </c>
      <c r="C33" s="1">
        <v>40969.384548611109</v>
      </c>
      <c r="D33" t="str">
        <f t="shared" si="0"/>
        <v>A2C</v>
      </c>
      <c r="F33" t="s">
        <v>134</v>
      </c>
      <c r="G33" t="s">
        <v>145</v>
      </c>
      <c r="H33" t="s">
        <v>140</v>
      </c>
      <c r="I33">
        <v>9</v>
      </c>
      <c r="J33">
        <v>500</v>
      </c>
      <c r="K33" s="4">
        <v>1E-4</v>
      </c>
      <c r="L33">
        <v>99</v>
      </c>
      <c r="M33" t="s">
        <v>142</v>
      </c>
    </row>
    <row r="34" spans="1:13" x14ac:dyDescent="0.2">
      <c r="A34" t="s">
        <v>32</v>
      </c>
      <c r="B34">
        <v>262966</v>
      </c>
      <c r="C34" s="1">
        <v>38412.623865740738</v>
      </c>
      <c r="D34" t="str">
        <f t="shared" si="0"/>
        <v>DQN</v>
      </c>
      <c r="F34" t="s">
        <v>135</v>
      </c>
      <c r="G34" t="s">
        <v>139</v>
      </c>
      <c r="H34" t="s">
        <v>140</v>
      </c>
      <c r="I34">
        <v>15</v>
      </c>
      <c r="J34">
        <v>500</v>
      </c>
      <c r="K34" s="4">
        <v>1E-4</v>
      </c>
      <c r="L34">
        <v>99</v>
      </c>
      <c r="M34" t="s">
        <v>141</v>
      </c>
    </row>
    <row r="35" spans="1:13" x14ac:dyDescent="0.2">
      <c r="A35" t="s">
        <v>33</v>
      </c>
      <c r="B35">
        <v>262965</v>
      </c>
      <c r="C35" s="1">
        <v>38412.627604166664</v>
      </c>
      <c r="D35" t="str">
        <f t="shared" ref="D35:D66" si="1">LEFT(A35,3)</f>
        <v>DQN</v>
      </c>
      <c r="F35" t="s">
        <v>135</v>
      </c>
      <c r="G35" t="s">
        <v>139</v>
      </c>
      <c r="H35" t="s">
        <v>140</v>
      </c>
      <c r="I35">
        <v>17</v>
      </c>
      <c r="J35">
        <v>500</v>
      </c>
      <c r="K35" s="4">
        <v>1E-4</v>
      </c>
      <c r="L35">
        <v>99</v>
      </c>
      <c r="M35" t="s">
        <v>141</v>
      </c>
    </row>
    <row r="36" spans="1:13" x14ac:dyDescent="0.2">
      <c r="A36" t="s">
        <v>34</v>
      </c>
      <c r="B36">
        <v>262964</v>
      </c>
      <c r="C36" s="1">
        <v>38412.631307870368</v>
      </c>
      <c r="D36" t="str">
        <f t="shared" si="1"/>
        <v>DQN</v>
      </c>
      <c r="F36" t="s">
        <v>135</v>
      </c>
      <c r="G36" t="s">
        <v>139</v>
      </c>
      <c r="H36" t="s">
        <v>140</v>
      </c>
      <c r="I36">
        <v>19</v>
      </c>
      <c r="J36">
        <v>500</v>
      </c>
      <c r="K36" s="4">
        <v>1E-4</v>
      </c>
      <c r="L36">
        <v>99</v>
      </c>
      <c r="M36" t="s">
        <v>141</v>
      </c>
    </row>
    <row r="37" spans="1:13" x14ac:dyDescent="0.2">
      <c r="A37" t="s">
        <v>35</v>
      </c>
      <c r="B37">
        <v>262962</v>
      </c>
      <c r="C37" s="1">
        <v>40969.369606481479</v>
      </c>
      <c r="D37" t="str">
        <f t="shared" si="1"/>
        <v>DQN</v>
      </c>
      <c r="F37" t="s">
        <v>135</v>
      </c>
      <c r="G37" t="s">
        <v>139</v>
      </c>
      <c r="H37" t="s">
        <v>140</v>
      </c>
      <c r="I37">
        <v>19</v>
      </c>
      <c r="J37">
        <v>500</v>
      </c>
      <c r="K37" s="4">
        <v>1E-4</v>
      </c>
      <c r="L37">
        <v>99</v>
      </c>
      <c r="M37" t="s">
        <v>142</v>
      </c>
    </row>
    <row r="38" spans="1:13" x14ac:dyDescent="0.2">
      <c r="A38" t="s">
        <v>36</v>
      </c>
      <c r="B38">
        <v>262955</v>
      </c>
      <c r="C38" s="1">
        <v>40969.372291666667</v>
      </c>
      <c r="D38" t="str">
        <f t="shared" si="1"/>
        <v>DQN</v>
      </c>
      <c r="F38" t="s">
        <v>135</v>
      </c>
      <c r="G38" t="s">
        <v>139</v>
      </c>
      <c r="H38" t="s">
        <v>140</v>
      </c>
      <c r="I38">
        <v>20</v>
      </c>
      <c r="J38">
        <v>500</v>
      </c>
      <c r="K38" s="4">
        <v>1E-4</v>
      </c>
      <c r="L38">
        <v>99</v>
      </c>
      <c r="M38" t="s">
        <v>142</v>
      </c>
    </row>
    <row r="39" spans="1:13" x14ac:dyDescent="0.2">
      <c r="A39" t="s">
        <v>37</v>
      </c>
      <c r="B39">
        <v>262966</v>
      </c>
      <c r="C39" s="1">
        <v>40969.375856481478</v>
      </c>
      <c r="D39" t="str">
        <f t="shared" si="1"/>
        <v>DQN</v>
      </c>
      <c r="F39" t="s">
        <v>135</v>
      </c>
      <c r="G39" t="s">
        <v>139</v>
      </c>
      <c r="H39" t="s">
        <v>140</v>
      </c>
      <c r="I39">
        <v>7</v>
      </c>
      <c r="J39">
        <v>500</v>
      </c>
      <c r="K39" s="4">
        <v>1E-4</v>
      </c>
      <c r="L39">
        <v>99</v>
      </c>
      <c r="M39" t="s">
        <v>142</v>
      </c>
    </row>
    <row r="40" spans="1:13" x14ac:dyDescent="0.2">
      <c r="A40" t="s">
        <v>38</v>
      </c>
      <c r="B40">
        <v>262960</v>
      </c>
      <c r="C40" s="1">
        <v>40969.383067129631</v>
      </c>
      <c r="D40" t="str">
        <f t="shared" si="1"/>
        <v>DQN</v>
      </c>
      <c r="F40" t="s">
        <v>135</v>
      </c>
      <c r="G40" t="s">
        <v>139</v>
      </c>
      <c r="H40" t="s">
        <v>140</v>
      </c>
      <c r="I40">
        <v>8</v>
      </c>
      <c r="J40">
        <v>500</v>
      </c>
      <c r="K40" s="4">
        <v>1E-4</v>
      </c>
      <c r="L40">
        <v>99</v>
      </c>
      <c r="M40" t="s">
        <v>142</v>
      </c>
    </row>
    <row r="41" spans="1:13" x14ac:dyDescent="0.2">
      <c r="A41" t="s">
        <v>39</v>
      </c>
      <c r="B41">
        <v>262970</v>
      </c>
      <c r="C41" s="1">
        <v>40969.38548611111</v>
      </c>
      <c r="D41" t="str">
        <f t="shared" si="1"/>
        <v>DQN</v>
      </c>
      <c r="F41" t="s">
        <v>135</v>
      </c>
      <c r="G41" t="s">
        <v>139</v>
      </c>
      <c r="H41" t="s">
        <v>140</v>
      </c>
      <c r="I41">
        <v>9</v>
      </c>
      <c r="J41">
        <v>500</v>
      </c>
      <c r="K41" s="4">
        <v>1E-4</v>
      </c>
      <c r="L41">
        <v>99</v>
      </c>
      <c r="M41" t="s">
        <v>142</v>
      </c>
    </row>
    <row r="42" spans="1:13" x14ac:dyDescent="0.2">
      <c r="A42" t="s">
        <v>40</v>
      </c>
      <c r="B42">
        <v>202281</v>
      </c>
      <c r="C42" s="1">
        <v>38412.623842592591</v>
      </c>
      <c r="D42" t="str">
        <f t="shared" si="1"/>
        <v>DQN</v>
      </c>
      <c r="F42" t="s">
        <v>135</v>
      </c>
      <c r="G42" t="s">
        <v>143</v>
      </c>
      <c r="H42" t="s">
        <v>140</v>
      </c>
      <c r="I42">
        <v>15</v>
      </c>
      <c r="J42">
        <v>500</v>
      </c>
      <c r="K42" s="4">
        <v>1E-4</v>
      </c>
      <c r="L42">
        <v>99</v>
      </c>
      <c r="M42" t="s">
        <v>141</v>
      </c>
    </row>
    <row r="43" spans="1:13" x14ac:dyDescent="0.2">
      <c r="A43" t="s">
        <v>41</v>
      </c>
      <c r="B43">
        <v>202283</v>
      </c>
      <c r="C43" s="1">
        <v>38412.627592592595</v>
      </c>
      <c r="D43" t="str">
        <f t="shared" si="1"/>
        <v>DQN</v>
      </c>
      <c r="F43" t="s">
        <v>135</v>
      </c>
      <c r="G43" t="s">
        <v>143</v>
      </c>
      <c r="H43" t="s">
        <v>140</v>
      </c>
      <c r="I43">
        <v>17</v>
      </c>
      <c r="J43">
        <v>500</v>
      </c>
      <c r="K43" s="4">
        <v>1E-4</v>
      </c>
      <c r="L43">
        <v>99</v>
      </c>
      <c r="M43" t="s">
        <v>141</v>
      </c>
    </row>
    <row r="44" spans="1:13" x14ac:dyDescent="0.2">
      <c r="A44" t="s">
        <v>42</v>
      </c>
      <c r="B44">
        <v>202277</v>
      </c>
      <c r="C44" s="1">
        <v>38412.631296296298</v>
      </c>
      <c r="D44" t="str">
        <f t="shared" si="1"/>
        <v>DQN</v>
      </c>
      <c r="F44" t="s">
        <v>135</v>
      </c>
      <c r="G44" t="s">
        <v>143</v>
      </c>
      <c r="H44" t="s">
        <v>140</v>
      </c>
      <c r="I44">
        <v>19</v>
      </c>
      <c r="J44">
        <v>500</v>
      </c>
      <c r="K44" s="4">
        <v>1E-4</v>
      </c>
      <c r="L44">
        <v>99</v>
      </c>
      <c r="M44" t="s">
        <v>141</v>
      </c>
    </row>
    <row r="45" spans="1:13" x14ac:dyDescent="0.2">
      <c r="A45" t="s">
        <v>43</v>
      </c>
      <c r="B45">
        <v>202282</v>
      </c>
      <c r="C45" s="1">
        <v>40969.36959490741</v>
      </c>
      <c r="D45" t="str">
        <f t="shared" si="1"/>
        <v>DQN</v>
      </c>
      <c r="F45" t="s">
        <v>135</v>
      </c>
      <c r="G45" t="s">
        <v>143</v>
      </c>
      <c r="H45" t="s">
        <v>140</v>
      </c>
      <c r="I45">
        <v>19</v>
      </c>
      <c r="J45">
        <v>500</v>
      </c>
      <c r="K45" s="4">
        <v>1E-4</v>
      </c>
      <c r="L45">
        <v>99</v>
      </c>
      <c r="M45" t="s">
        <v>142</v>
      </c>
    </row>
    <row r="46" spans="1:13" x14ac:dyDescent="0.2">
      <c r="A46" t="s">
        <v>44</v>
      </c>
      <c r="B46">
        <v>202279</v>
      </c>
      <c r="C46" s="1">
        <v>40969.37228009259</v>
      </c>
      <c r="D46" t="str">
        <f t="shared" si="1"/>
        <v>DQN</v>
      </c>
      <c r="F46" t="s">
        <v>135</v>
      </c>
      <c r="G46" t="s">
        <v>143</v>
      </c>
      <c r="H46" t="s">
        <v>140</v>
      </c>
      <c r="I46">
        <v>20</v>
      </c>
      <c r="J46">
        <v>500</v>
      </c>
      <c r="K46" s="4">
        <v>1E-4</v>
      </c>
      <c r="L46">
        <v>99</v>
      </c>
      <c r="M46" t="s">
        <v>142</v>
      </c>
    </row>
    <row r="47" spans="1:13" x14ac:dyDescent="0.2">
      <c r="A47" t="s">
        <v>45</v>
      </c>
      <c r="B47">
        <v>202279</v>
      </c>
      <c r="C47" s="1">
        <v>40969.375833333332</v>
      </c>
      <c r="D47" t="str">
        <f t="shared" si="1"/>
        <v>DQN</v>
      </c>
      <c r="F47" t="s">
        <v>135</v>
      </c>
      <c r="G47" t="s">
        <v>143</v>
      </c>
      <c r="H47" t="s">
        <v>140</v>
      </c>
      <c r="I47">
        <v>7</v>
      </c>
      <c r="J47">
        <v>500</v>
      </c>
      <c r="K47" s="4">
        <v>1E-4</v>
      </c>
      <c r="L47">
        <v>99</v>
      </c>
      <c r="M47" t="s">
        <v>142</v>
      </c>
    </row>
    <row r="48" spans="1:13" x14ac:dyDescent="0.2">
      <c r="A48" t="s">
        <v>46</v>
      </c>
      <c r="B48">
        <v>202281</v>
      </c>
      <c r="C48" s="1">
        <v>40969.383055555554</v>
      </c>
      <c r="D48" t="str">
        <f t="shared" si="1"/>
        <v>DQN</v>
      </c>
      <c r="F48" t="s">
        <v>135</v>
      </c>
      <c r="G48" t="s">
        <v>143</v>
      </c>
      <c r="H48" t="s">
        <v>140</v>
      </c>
      <c r="I48">
        <v>8</v>
      </c>
      <c r="J48">
        <v>500</v>
      </c>
      <c r="K48" s="4">
        <v>1E-4</v>
      </c>
      <c r="L48">
        <v>99</v>
      </c>
      <c r="M48" t="s">
        <v>142</v>
      </c>
    </row>
    <row r="49" spans="1:13" x14ac:dyDescent="0.2">
      <c r="A49" t="s">
        <v>47</v>
      </c>
      <c r="B49">
        <v>202279</v>
      </c>
      <c r="C49" s="1">
        <v>40969.385462962964</v>
      </c>
      <c r="D49" t="str">
        <f t="shared" si="1"/>
        <v>DQN</v>
      </c>
      <c r="F49" t="s">
        <v>135</v>
      </c>
      <c r="G49" t="s">
        <v>143</v>
      </c>
      <c r="H49" t="s">
        <v>140</v>
      </c>
      <c r="I49">
        <v>9</v>
      </c>
      <c r="J49">
        <v>500</v>
      </c>
      <c r="K49" s="4">
        <v>1E-4</v>
      </c>
      <c r="L49">
        <v>99</v>
      </c>
      <c r="M49" t="s">
        <v>142</v>
      </c>
    </row>
    <row r="50" spans="1:13" x14ac:dyDescent="0.2">
      <c r="A50" t="s">
        <v>48</v>
      </c>
      <c r="B50">
        <v>658814</v>
      </c>
      <c r="C50" s="1">
        <v>38412.623877314814</v>
      </c>
      <c r="D50" t="str">
        <f t="shared" si="1"/>
        <v>DQN</v>
      </c>
      <c r="F50" t="s">
        <v>135</v>
      </c>
      <c r="G50" t="s">
        <v>144</v>
      </c>
      <c r="H50" t="s">
        <v>140</v>
      </c>
      <c r="I50">
        <v>15</v>
      </c>
      <c r="J50">
        <v>500</v>
      </c>
      <c r="K50" s="4">
        <v>1E-4</v>
      </c>
      <c r="L50">
        <v>99</v>
      </c>
      <c r="M50" t="s">
        <v>141</v>
      </c>
    </row>
    <row r="51" spans="1:13" x14ac:dyDescent="0.2">
      <c r="A51" t="s">
        <v>49</v>
      </c>
      <c r="B51">
        <v>658821</v>
      </c>
      <c r="C51" s="1">
        <v>38412.627615740741</v>
      </c>
      <c r="D51" t="str">
        <f t="shared" si="1"/>
        <v>DQN</v>
      </c>
      <c r="F51" t="s">
        <v>135</v>
      </c>
      <c r="G51" t="s">
        <v>144</v>
      </c>
      <c r="H51" t="s">
        <v>140</v>
      </c>
      <c r="I51">
        <v>17</v>
      </c>
      <c r="J51">
        <v>500</v>
      </c>
      <c r="K51" s="4">
        <v>1E-4</v>
      </c>
      <c r="L51">
        <v>99</v>
      </c>
      <c r="M51" t="s">
        <v>141</v>
      </c>
    </row>
    <row r="52" spans="1:13" x14ac:dyDescent="0.2">
      <c r="A52" t="s">
        <v>50</v>
      </c>
      <c r="B52">
        <v>658815</v>
      </c>
      <c r="C52" s="1">
        <v>38412.631319444445</v>
      </c>
      <c r="D52" t="str">
        <f t="shared" si="1"/>
        <v>DQN</v>
      </c>
      <c r="F52" t="s">
        <v>135</v>
      </c>
      <c r="G52" t="s">
        <v>144</v>
      </c>
      <c r="H52" t="s">
        <v>140</v>
      </c>
      <c r="I52">
        <v>19</v>
      </c>
      <c r="J52">
        <v>500</v>
      </c>
      <c r="K52" s="4">
        <v>1E-4</v>
      </c>
      <c r="L52">
        <v>99</v>
      </c>
      <c r="M52" t="s">
        <v>141</v>
      </c>
    </row>
    <row r="53" spans="1:13" x14ac:dyDescent="0.2">
      <c r="A53" t="s">
        <v>51</v>
      </c>
      <c r="B53">
        <v>658821</v>
      </c>
      <c r="C53" s="1">
        <v>40969.369618055556</v>
      </c>
      <c r="D53" t="str">
        <f t="shared" si="1"/>
        <v>DQN</v>
      </c>
      <c r="F53" t="s">
        <v>135</v>
      </c>
      <c r="G53" t="s">
        <v>144</v>
      </c>
      <c r="H53" t="s">
        <v>140</v>
      </c>
      <c r="I53">
        <v>19</v>
      </c>
      <c r="J53">
        <v>500</v>
      </c>
      <c r="K53" s="4">
        <v>1E-4</v>
      </c>
      <c r="L53">
        <v>99</v>
      </c>
      <c r="M53" t="s">
        <v>142</v>
      </c>
    </row>
    <row r="54" spans="1:13" x14ac:dyDescent="0.2">
      <c r="A54" t="s">
        <v>52</v>
      </c>
      <c r="B54">
        <v>658819</v>
      </c>
      <c r="C54" s="1">
        <v>40969.372303240743</v>
      </c>
      <c r="D54" t="str">
        <f t="shared" si="1"/>
        <v>DQN</v>
      </c>
      <c r="F54" t="s">
        <v>135</v>
      </c>
      <c r="G54" t="s">
        <v>144</v>
      </c>
      <c r="H54" t="s">
        <v>140</v>
      </c>
      <c r="I54">
        <v>20</v>
      </c>
      <c r="J54">
        <v>500</v>
      </c>
      <c r="K54" s="4">
        <v>1E-4</v>
      </c>
      <c r="L54">
        <v>99</v>
      </c>
      <c r="M54" t="s">
        <v>142</v>
      </c>
    </row>
    <row r="55" spans="1:13" x14ac:dyDescent="0.2">
      <c r="A55" t="s">
        <v>53</v>
      </c>
      <c r="B55">
        <v>658810</v>
      </c>
      <c r="C55" s="1">
        <v>40969.375868055555</v>
      </c>
      <c r="D55" t="str">
        <f t="shared" si="1"/>
        <v>DQN</v>
      </c>
      <c r="F55" t="s">
        <v>135</v>
      </c>
      <c r="G55" t="s">
        <v>144</v>
      </c>
      <c r="H55" t="s">
        <v>140</v>
      </c>
      <c r="I55">
        <v>7</v>
      </c>
      <c r="J55">
        <v>500</v>
      </c>
      <c r="K55" s="4">
        <v>1E-4</v>
      </c>
      <c r="L55">
        <v>99</v>
      </c>
      <c r="M55" t="s">
        <v>142</v>
      </c>
    </row>
    <row r="56" spans="1:13" x14ac:dyDescent="0.2">
      <c r="A56" t="s">
        <v>54</v>
      </c>
      <c r="B56">
        <v>658824</v>
      </c>
      <c r="C56" s="1">
        <v>40969.3830787037</v>
      </c>
      <c r="D56" t="str">
        <f t="shared" si="1"/>
        <v>DQN</v>
      </c>
      <c r="F56" t="s">
        <v>135</v>
      </c>
      <c r="G56" t="s">
        <v>144</v>
      </c>
      <c r="H56" t="s">
        <v>140</v>
      </c>
      <c r="I56">
        <v>8</v>
      </c>
      <c r="J56">
        <v>500</v>
      </c>
      <c r="K56" s="4">
        <v>1E-4</v>
      </c>
      <c r="L56">
        <v>99</v>
      </c>
      <c r="M56" t="s">
        <v>142</v>
      </c>
    </row>
    <row r="57" spans="1:13" x14ac:dyDescent="0.2">
      <c r="A57" t="s">
        <v>55</v>
      </c>
      <c r="B57">
        <v>658821</v>
      </c>
      <c r="C57" s="1">
        <v>40969.385497685187</v>
      </c>
      <c r="D57" t="str">
        <f t="shared" si="1"/>
        <v>DQN</v>
      </c>
      <c r="F57" t="s">
        <v>135</v>
      </c>
      <c r="G57" t="s">
        <v>144</v>
      </c>
      <c r="H57" t="s">
        <v>140</v>
      </c>
      <c r="I57">
        <v>9</v>
      </c>
      <c r="J57">
        <v>500</v>
      </c>
      <c r="K57" s="4">
        <v>1E-4</v>
      </c>
      <c r="L57">
        <v>99</v>
      </c>
      <c r="M57" t="s">
        <v>142</v>
      </c>
    </row>
    <row r="58" spans="1:13" x14ac:dyDescent="0.2">
      <c r="A58" t="s">
        <v>56</v>
      </c>
      <c r="B58">
        <v>554856</v>
      </c>
      <c r="C58" s="1">
        <v>38412.623854166668</v>
      </c>
      <c r="D58" t="str">
        <f t="shared" si="1"/>
        <v>DQN</v>
      </c>
      <c r="F58" t="s">
        <v>135</v>
      </c>
      <c r="G58" t="s">
        <v>145</v>
      </c>
      <c r="H58" t="s">
        <v>140</v>
      </c>
      <c r="I58">
        <v>15</v>
      </c>
      <c r="J58">
        <v>500</v>
      </c>
      <c r="K58" s="4">
        <v>1E-4</v>
      </c>
      <c r="L58">
        <v>99</v>
      </c>
      <c r="M58" t="s">
        <v>141</v>
      </c>
    </row>
    <row r="59" spans="1:13" x14ac:dyDescent="0.2">
      <c r="A59" t="s">
        <v>57</v>
      </c>
      <c r="B59">
        <v>554858</v>
      </c>
      <c r="C59" s="1">
        <v>38412.627592592595</v>
      </c>
      <c r="D59" t="str">
        <f t="shared" si="1"/>
        <v>DQN</v>
      </c>
      <c r="F59" t="s">
        <v>135</v>
      </c>
      <c r="G59" t="s">
        <v>145</v>
      </c>
      <c r="H59" t="s">
        <v>140</v>
      </c>
      <c r="I59">
        <v>17</v>
      </c>
      <c r="J59">
        <v>500</v>
      </c>
      <c r="K59" s="4">
        <v>1E-4</v>
      </c>
      <c r="L59">
        <v>99</v>
      </c>
      <c r="M59" t="s">
        <v>141</v>
      </c>
    </row>
    <row r="60" spans="1:13" x14ac:dyDescent="0.2">
      <c r="A60" t="s">
        <v>58</v>
      </c>
      <c r="B60">
        <v>554854</v>
      </c>
      <c r="C60" s="1">
        <v>38412.631296296298</v>
      </c>
      <c r="D60" t="str">
        <f t="shared" si="1"/>
        <v>DQN</v>
      </c>
      <c r="F60" t="s">
        <v>135</v>
      </c>
      <c r="G60" t="s">
        <v>145</v>
      </c>
      <c r="H60" t="s">
        <v>140</v>
      </c>
      <c r="I60">
        <v>19</v>
      </c>
      <c r="J60">
        <v>500</v>
      </c>
      <c r="K60" s="4">
        <v>1E-4</v>
      </c>
      <c r="L60">
        <v>99</v>
      </c>
      <c r="M60" t="s">
        <v>141</v>
      </c>
    </row>
    <row r="61" spans="1:13" x14ac:dyDescent="0.2">
      <c r="A61" t="s">
        <v>59</v>
      </c>
      <c r="B61">
        <v>554843</v>
      </c>
      <c r="C61" s="1">
        <v>40969.369606481479</v>
      </c>
      <c r="D61" t="str">
        <f t="shared" si="1"/>
        <v>DQN</v>
      </c>
      <c r="F61" t="s">
        <v>135</v>
      </c>
      <c r="G61" t="s">
        <v>145</v>
      </c>
      <c r="H61" t="s">
        <v>140</v>
      </c>
      <c r="I61">
        <v>19</v>
      </c>
      <c r="J61">
        <v>500</v>
      </c>
      <c r="K61" s="4">
        <v>1E-4</v>
      </c>
      <c r="L61">
        <v>99</v>
      </c>
      <c r="M61" t="s">
        <v>142</v>
      </c>
    </row>
    <row r="62" spans="1:13" x14ac:dyDescent="0.2">
      <c r="A62" t="s">
        <v>60</v>
      </c>
      <c r="B62">
        <v>554858</v>
      </c>
      <c r="C62" s="1">
        <v>40969.37228009259</v>
      </c>
      <c r="D62" t="str">
        <f t="shared" si="1"/>
        <v>DQN</v>
      </c>
      <c r="F62" t="s">
        <v>135</v>
      </c>
      <c r="G62" t="s">
        <v>145</v>
      </c>
      <c r="H62" t="s">
        <v>140</v>
      </c>
      <c r="I62">
        <v>20</v>
      </c>
      <c r="J62">
        <v>500</v>
      </c>
      <c r="K62" s="4">
        <v>1E-4</v>
      </c>
      <c r="L62">
        <v>99</v>
      </c>
      <c r="M62" t="s">
        <v>142</v>
      </c>
    </row>
    <row r="63" spans="1:13" x14ac:dyDescent="0.2">
      <c r="A63" t="s">
        <v>61</v>
      </c>
      <c r="B63">
        <v>554853</v>
      </c>
      <c r="C63" s="1">
        <v>40969.375844907408</v>
      </c>
      <c r="D63" t="str">
        <f t="shared" si="1"/>
        <v>DQN</v>
      </c>
      <c r="F63" t="s">
        <v>135</v>
      </c>
      <c r="G63" t="s">
        <v>145</v>
      </c>
      <c r="H63" t="s">
        <v>140</v>
      </c>
      <c r="I63">
        <v>7</v>
      </c>
      <c r="J63">
        <v>500</v>
      </c>
      <c r="K63" s="4">
        <v>1E-4</v>
      </c>
      <c r="L63">
        <v>99</v>
      </c>
      <c r="M63" t="s">
        <v>142</v>
      </c>
    </row>
    <row r="64" spans="1:13" x14ac:dyDescent="0.2">
      <c r="A64" t="s">
        <v>62</v>
      </c>
      <c r="B64">
        <v>554856</v>
      </c>
      <c r="C64" s="1">
        <v>40969.383055555554</v>
      </c>
      <c r="D64" t="str">
        <f t="shared" si="1"/>
        <v>DQN</v>
      </c>
      <c r="F64" t="s">
        <v>135</v>
      </c>
      <c r="G64" t="s">
        <v>145</v>
      </c>
      <c r="H64" t="s">
        <v>140</v>
      </c>
      <c r="I64">
        <v>8</v>
      </c>
      <c r="J64">
        <v>500</v>
      </c>
      <c r="K64" s="4">
        <v>1E-4</v>
      </c>
      <c r="L64">
        <v>99</v>
      </c>
      <c r="M64" t="s">
        <v>142</v>
      </c>
    </row>
    <row r="65" spans="1:13" x14ac:dyDescent="0.2">
      <c r="A65" t="s">
        <v>63</v>
      </c>
      <c r="B65">
        <v>554858</v>
      </c>
      <c r="C65" s="1">
        <v>40969.385474537034</v>
      </c>
      <c r="D65" t="str">
        <f t="shared" si="1"/>
        <v>DQN</v>
      </c>
      <c r="F65" t="s">
        <v>135</v>
      </c>
      <c r="G65" t="s">
        <v>145</v>
      </c>
      <c r="H65" t="s">
        <v>140</v>
      </c>
      <c r="I65">
        <v>9</v>
      </c>
      <c r="J65">
        <v>500</v>
      </c>
      <c r="K65" s="4">
        <v>1E-4</v>
      </c>
      <c r="L65">
        <v>99</v>
      </c>
      <c r="M65" t="s">
        <v>142</v>
      </c>
    </row>
    <row r="66" spans="1:13" x14ac:dyDescent="0.2">
      <c r="A66" t="s">
        <v>64</v>
      </c>
      <c r="B66">
        <v>114043</v>
      </c>
      <c r="C66" s="1">
        <v>38412.623888888891</v>
      </c>
      <c r="D66" t="str">
        <f t="shared" si="1"/>
        <v>PPO</v>
      </c>
      <c r="F66" t="s">
        <v>136</v>
      </c>
      <c r="G66" t="s">
        <v>139</v>
      </c>
      <c r="H66" t="s">
        <v>140</v>
      </c>
      <c r="I66">
        <v>15</v>
      </c>
      <c r="J66">
        <v>500</v>
      </c>
      <c r="K66" s="4">
        <v>1E-4</v>
      </c>
      <c r="L66">
        <v>99</v>
      </c>
      <c r="M66" t="s">
        <v>141</v>
      </c>
    </row>
    <row r="67" spans="1:13" x14ac:dyDescent="0.2">
      <c r="A67" t="s">
        <v>65</v>
      </c>
      <c r="B67">
        <v>114044</v>
      </c>
      <c r="C67" s="1">
        <v>38412.627638888887</v>
      </c>
      <c r="D67" t="str">
        <f t="shared" ref="D67:D98" si="2">LEFT(A67,3)</f>
        <v>PPO</v>
      </c>
      <c r="F67" t="s">
        <v>136</v>
      </c>
      <c r="G67" t="s">
        <v>139</v>
      </c>
      <c r="H67" t="s">
        <v>140</v>
      </c>
      <c r="I67">
        <v>17</v>
      </c>
      <c r="J67">
        <v>500</v>
      </c>
      <c r="K67" s="4">
        <v>1E-4</v>
      </c>
      <c r="L67">
        <v>99</v>
      </c>
      <c r="M67" t="s">
        <v>141</v>
      </c>
    </row>
    <row r="68" spans="1:13" x14ac:dyDescent="0.2">
      <c r="A68" t="s">
        <v>66</v>
      </c>
      <c r="B68">
        <v>114043</v>
      </c>
      <c r="C68" s="1">
        <v>38412.631342592591</v>
      </c>
      <c r="D68" t="str">
        <f t="shared" si="2"/>
        <v>PPO</v>
      </c>
      <c r="F68" t="s">
        <v>136</v>
      </c>
      <c r="G68" t="s">
        <v>139</v>
      </c>
      <c r="H68" t="s">
        <v>140</v>
      </c>
      <c r="I68">
        <v>19</v>
      </c>
      <c r="J68">
        <v>500</v>
      </c>
      <c r="K68" s="4">
        <v>1E-4</v>
      </c>
      <c r="L68">
        <v>99</v>
      </c>
      <c r="M68" t="s">
        <v>141</v>
      </c>
    </row>
    <row r="69" spans="1:13" x14ac:dyDescent="0.2">
      <c r="A69" t="s">
        <v>67</v>
      </c>
      <c r="B69">
        <v>114043</v>
      </c>
      <c r="C69" s="1">
        <v>40969.369664351849</v>
      </c>
      <c r="D69" t="str">
        <f t="shared" si="2"/>
        <v>PPO</v>
      </c>
      <c r="F69" t="s">
        <v>136</v>
      </c>
      <c r="G69" t="s">
        <v>139</v>
      </c>
      <c r="H69" t="s">
        <v>140</v>
      </c>
      <c r="I69">
        <v>19</v>
      </c>
      <c r="J69">
        <v>500</v>
      </c>
      <c r="K69" s="4">
        <v>1E-4</v>
      </c>
      <c r="L69">
        <v>99</v>
      </c>
      <c r="M69" t="s">
        <v>142</v>
      </c>
    </row>
    <row r="70" spans="1:13" x14ac:dyDescent="0.2">
      <c r="A70" t="s">
        <v>68</v>
      </c>
      <c r="B70">
        <v>114044</v>
      </c>
      <c r="C70" s="1">
        <v>40969.372349537036</v>
      </c>
      <c r="D70" t="str">
        <f t="shared" si="2"/>
        <v>PPO</v>
      </c>
      <c r="F70" t="s">
        <v>136</v>
      </c>
      <c r="G70" t="s">
        <v>139</v>
      </c>
      <c r="H70" t="s">
        <v>140</v>
      </c>
      <c r="I70">
        <v>20</v>
      </c>
      <c r="J70">
        <v>500</v>
      </c>
      <c r="K70" s="4">
        <v>1E-4</v>
      </c>
      <c r="L70">
        <v>99</v>
      </c>
      <c r="M70" t="s">
        <v>142</v>
      </c>
    </row>
    <row r="71" spans="1:13" x14ac:dyDescent="0.2">
      <c r="A71" t="s">
        <v>69</v>
      </c>
      <c r="B71">
        <v>114044</v>
      </c>
      <c r="C71" s="1">
        <v>40969.375914351855</v>
      </c>
      <c r="D71" t="str">
        <f t="shared" si="2"/>
        <v>PPO</v>
      </c>
      <c r="F71" t="s">
        <v>136</v>
      </c>
      <c r="G71" t="s">
        <v>139</v>
      </c>
      <c r="H71" t="s">
        <v>140</v>
      </c>
      <c r="I71">
        <v>7</v>
      </c>
      <c r="J71">
        <v>500</v>
      </c>
      <c r="K71" s="4">
        <v>1E-4</v>
      </c>
      <c r="L71">
        <v>99</v>
      </c>
      <c r="M71" t="s">
        <v>142</v>
      </c>
    </row>
    <row r="72" spans="1:13" x14ac:dyDescent="0.2">
      <c r="A72" t="s">
        <v>70</v>
      </c>
      <c r="B72">
        <v>114044</v>
      </c>
      <c r="C72" s="1">
        <v>40969.383125</v>
      </c>
      <c r="D72" t="str">
        <f t="shared" si="2"/>
        <v>PPO</v>
      </c>
      <c r="F72" t="s">
        <v>136</v>
      </c>
      <c r="G72" t="s">
        <v>139</v>
      </c>
      <c r="H72" t="s">
        <v>140</v>
      </c>
      <c r="I72">
        <v>8</v>
      </c>
      <c r="J72">
        <v>500</v>
      </c>
      <c r="K72" s="4">
        <v>1E-4</v>
      </c>
      <c r="L72">
        <v>99</v>
      </c>
      <c r="M72" t="s">
        <v>142</v>
      </c>
    </row>
    <row r="73" spans="1:13" x14ac:dyDescent="0.2">
      <c r="A73" t="s">
        <v>71</v>
      </c>
      <c r="B73">
        <v>114044</v>
      </c>
      <c r="C73" s="1">
        <v>40969.38554398148</v>
      </c>
      <c r="D73" t="str">
        <f t="shared" si="2"/>
        <v>PPO</v>
      </c>
      <c r="F73" t="s">
        <v>136</v>
      </c>
      <c r="G73" t="s">
        <v>139</v>
      </c>
      <c r="H73" t="s">
        <v>140</v>
      </c>
      <c r="I73">
        <v>9</v>
      </c>
      <c r="J73">
        <v>500</v>
      </c>
      <c r="K73" s="4">
        <v>1E-4</v>
      </c>
      <c r="L73">
        <v>99</v>
      </c>
      <c r="M73" t="s">
        <v>142</v>
      </c>
    </row>
    <row r="74" spans="1:13" x14ac:dyDescent="0.2">
      <c r="A74" t="s">
        <v>72</v>
      </c>
      <c r="B74">
        <v>97805</v>
      </c>
      <c r="C74" s="1">
        <v>38412.623877314814</v>
      </c>
      <c r="D74" t="str">
        <f t="shared" si="2"/>
        <v>PPO</v>
      </c>
      <c r="F74" t="s">
        <v>136</v>
      </c>
      <c r="G74" t="s">
        <v>143</v>
      </c>
      <c r="H74" t="s">
        <v>140</v>
      </c>
      <c r="I74">
        <v>15</v>
      </c>
      <c r="J74">
        <v>500</v>
      </c>
      <c r="K74" s="4">
        <v>1E-4</v>
      </c>
      <c r="L74">
        <v>99</v>
      </c>
      <c r="M74" t="s">
        <v>141</v>
      </c>
    </row>
    <row r="75" spans="1:13" x14ac:dyDescent="0.2">
      <c r="A75" t="s">
        <v>73</v>
      </c>
      <c r="B75">
        <v>97805</v>
      </c>
      <c r="C75" s="1">
        <v>38412.627615740741</v>
      </c>
      <c r="D75" t="str">
        <f t="shared" si="2"/>
        <v>PPO</v>
      </c>
      <c r="F75" t="s">
        <v>136</v>
      </c>
      <c r="G75" t="s">
        <v>143</v>
      </c>
      <c r="H75" t="s">
        <v>140</v>
      </c>
      <c r="I75">
        <v>17</v>
      </c>
      <c r="J75">
        <v>500</v>
      </c>
      <c r="K75" s="4">
        <v>1E-4</v>
      </c>
      <c r="L75">
        <v>99</v>
      </c>
      <c r="M75" t="s">
        <v>141</v>
      </c>
    </row>
    <row r="76" spans="1:13" x14ac:dyDescent="0.2">
      <c r="A76" t="s">
        <v>74</v>
      </c>
      <c r="B76">
        <v>97804</v>
      </c>
      <c r="C76" s="1">
        <v>38412.631319444445</v>
      </c>
      <c r="D76" t="str">
        <f t="shared" si="2"/>
        <v>PPO</v>
      </c>
      <c r="F76" t="s">
        <v>136</v>
      </c>
      <c r="G76" t="s">
        <v>143</v>
      </c>
      <c r="H76" t="s">
        <v>140</v>
      </c>
      <c r="I76">
        <v>19</v>
      </c>
      <c r="J76">
        <v>500</v>
      </c>
      <c r="K76" s="4">
        <v>1E-4</v>
      </c>
      <c r="L76">
        <v>99</v>
      </c>
      <c r="M76" t="s">
        <v>141</v>
      </c>
    </row>
    <row r="77" spans="1:13" x14ac:dyDescent="0.2">
      <c r="A77" t="s">
        <v>75</v>
      </c>
      <c r="B77">
        <v>97805</v>
      </c>
      <c r="C77" s="1">
        <v>40969.369652777779</v>
      </c>
      <c r="D77" t="str">
        <f t="shared" si="2"/>
        <v>PPO</v>
      </c>
      <c r="F77" t="s">
        <v>136</v>
      </c>
      <c r="G77" t="s">
        <v>143</v>
      </c>
      <c r="H77" t="s">
        <v>140</v>
      </c>
      <c r="I77">
        <v>19</v>
      </c>
      <c r="J77">
        <v>500</v>
      </c>
      <c r="K77" s="4">
        <v>1E-4</v>
      </c>
      <c r="L77">
        <v>99</v>
      </c>
      <c r="M77" t="s">
        <v>142</v>
      </c>
    </row>
    <row r="78" spans="1:13" x14ac:dyDescent="0.2">
      <c r="A78" t="s">
        <v>76</v>
      </c>
      <c r="B78">
        <v>97804</v>
      </c>
      <c r="C78" s="1">
        <v>40969.372337962966</v>
      </c>
      <c r="D78" t="str">
        <f t="shared" si="2"/>
        <v>PPO</v>
      </c>
      <c r="F78" t="s">
        <v>136</v>
      </c>
      <c r="G78" t="s">
        <v>143</v>
      </c>
      <c r="H78" t="s">
        <v>140</v>
      </c>
      <c r="I78">
        <v>20</v>
      </c>
      <c r="J78">
        <v>500</v>
      </c>
      <c r="K78" s="4">
        <v>1E-4</v>
      </c>
      <c r="L78">
        <v>99</v>
      </c>
      <c r="M78" t="s">
        <v>142</v>
      </c>
    </row>
    <row r="79" spans="1:13" x14ac:dyDescent="0.2">
      <c r="A79" t="s">
        <v>77</v>
      </c>
      <c r="B79">
        <v>97805</v>
      </c>
      <c r="C79" s="1">
        <v>40969.375902777778</v>
      </c>
      <c r="D79" t="str">
        <f t="shared" si="2"/>
        <v>PPO</v>
      </c>
      <c r="F79" t="s">
        <v>136</v>
      </c>
      <c r="G79" t="s">
        <v>143</v>
      </c>
      <c r="H79" t="s">
        <v>140</v>
      </c>
      <c r="I79">
        <v>7</v>
      </c>
      <c r="J79">
        <v>500</v>
      </c>
      <c r="K79" s="4">
        <v>1E-4</v>
      </c>
      <c r="L79">
        <v>99</v>
      </c>
      <c r="M79" t="s">
        <v>142</v>
      </c>
    </row>
    <row r="80" spans="1:13" x14ac:dyDescent="0.2">
      <c r="A80" t="s">
        <v>78</v>
      </c>
      <c r="B80">
        <v>97804</v>
      </c>
      <c r="C80" s="1">
        <v>40969.383113425924</v>
      </c>
      <c r="D80" t="str">
        <f t="shared" si="2"/>
        <v>PPO</v>
      </c>
      <c r="F80" t="s">
        <v>136</v>
      </c>
      <c r="G80" t="s">
        <v>143</v>
      </c>
      <c r="H80" t="s">
        <v>140</v>
      </c>
      <c r="I80">
        <v>8</v>
      </c>
      <c r="J80">
        <v>500</v>
      </c>
      <c r="K80" s="4">
        <v>1E-4</v>
      </c>
      <c r="L80">
        <v>99</v>
      </c>
      <c r="M80" t="s">
        <v>142</v>
      </c>
    </row>
    <row r="81" spans="1:13" x14ac:dyDescent="0.2">
      <c r="A81" t="s">
        <v>79</v>
      </c>
      <c r="B81">
        <v>97804</v>
      </c>
      <c r="C81" s="1">
        <v>40969.38553240741</v>
      </c>
      <c r="D81" t="str">
        <f t="shared" si="2"/>
        <v>PPO</v>
      </c>
      <c r="F81" t="s">
        <v>136</v>
      </c>
      <c r="G81" t="s">
        <v>143</v>
      </c>
      <c r="H81" t="s">
        <v>140</v>
      </c>
      <c r="I81">
        <v>9</v>
      </c>
      <c r="J81">
        <v>500</v>
      </c>
      <c r="K81" s="4">
        <v>1E-4</v>
      </c>
      <c r="L81">
        <v>99</v>
      </c>
      <c r="M81" t="s">
        <v>142</v>
      </c>
    </row>
    <row r="82" spans="1:13" x14ac:dyDescent="0.2">
      <c r="A82" t="s">
        <v>80</v>
      </c>
      <c r="B82">
        <v>214827</v>
      </c>
      <c r="C82" s="1">
        <v>38412.623900462961</v>
      </c>
      <c r="D82" t="str">
        <f t="shared" si="2"/>
        <v>PPO</v>
      </c>
      <c r="F82" t="s">
        <v>136</v>
      </c>
      <c r="G82" t="s">
        <v>144</v>
      </c>
      <c r="H82" t="s">
        <v>140</v>
      </c>
      <c r="I82">
        <v>15</v>
      </c>
      <c r="J82">
        <v>500</v>
      </c>
      <c r="K82" s="4">
        <v>1E-4</v>
      </c>
      <c r="L82">
        <v>99</v>
      </c>
      <c r="M82" t="s">
        <v>141</v>
      </c>
    </row>
    <row r="83" spans="1:13" x14ac:dyDescent="0.2">
      <c r="A83" t="s">
        <v>81</v>
      </c>
      <c r="B83">
        <v>214827</v>
      </c>
      <c r="C83" s="1">
        <v>38412.627638888887</v>
      </c>
      <c r="D83" t="str">
        <f t="shared" si="2"/>
        <v>PPO</v>
      </c>
      <c r="F83" t="s">
        <v>136</v>
      </c>
      <c r="G83" t="s">
        <v>144</v>
      </c>
      <c r="H83" t="s">
        <v>140</v>
      </c>
      <c r="I83">
        <v>17</v>
      </c>
      <c r="J83">
        <v>500</v>
      </c>
      <c r="K83" s="4">
        <v>1E-4</v>
      </c>
      <c r="L83">
        <v>99</v>
      </c>
      <c r="M83" t="s">
        <v>141</v>
      </c>
    </row>
    <row r="84" spans="1:13" x14ac:dyDescent="0.2">
      <c r="A84" t="s">
        <v>82</v>
      </c>
      <c r="B84">
        <v>214827</v>
      </c>
      <c r="C84" s="1">
        <v>38412.631342592591</v>
      </c>
      <c r="D84" t="str">
        <f t="shared" si="2"/>
        <v>PPO</v>
      </c>
      <c r="F84" t="s">
        <v>136</v>
      </c>
      <c r="G84" t="s">
        <v>144</v>
      </c>
      <c r="H84" t="s">
        <v>140</v>
      </c>
      <c r="I84">
        <v>19</v>
      </c>
      <c r="J84">
        <v>500</v>
      </c>
      <c r="K84" s="4">
        <v>1E-4</v>
      </c>
      <c r="L84">
        <v>99</v>
      </c>
      <c r="M84" t="s">
        <v>141</v>
      </c>
    </row>
    <row r="85" spans="1:13" x14ac:dyDescent="0.2">
      <c r="A85" t="s">
        <v>83</v>
      </c>
      <c r="B85">
        <v>214827</v>
      </c>
      <c r="C85" s="1">
        <v>40969.369675925926</v>
      </c>
      <c r="D85" t="str">
        <f t="shared" si="2"/>
        <v>PPO</v>
      </c>
      <c r="F85" t="s">
        <v>136</v>
      </c>
      <c r="G85" t="s">
        <v>144</v>
      </c>
      <c r="H85" t="s">
        <v>140</v>
      </c>
      <c r="I85">
        <v>19</v>
      </c>
      <c r="J85">
        <v>500</v>
      </c>
      <c r="K85" s="4">
        <v>1E-4</v>
      </c>
      <c r="L85">
        <v>99</v>
      </c>
      <c r="M85" t="s">
        <v>142</v>
      </c>
    </row>
    <row r="86" spans="1:13" x14ac:dyDescent="0.2">
      <c r="A86" t="s">
        <v>84</v>
      </c>
      <c r="B86">
        <v>214826</v>
      </c>
      <c r="C86" s="1">
        <v>40969.372361111113</v>
      </c>
      <c r="D86" t="str">
        <f t="shared" si="2"/>
        <v>PPO</v>
      </c>
      <c r="F86" t="s">
        <v>136</v>
      </c>
      <c r="G86" t="s">
        <v>144</v>
      </c>
      <c r="H86" t="s">
        <v>140</v>
      </c>
      <c r="I86">
        <v>20</v>
      </c>
      <c r="J86">
        <v>500</v>
      </c>
      <c r="K86" s="4">
        <v>1E-4</v>
      </c>
      <c r="L86">
        <v>99</v>
      </c>
      <c r="M86" t="s">
        <v>142</v>
      </c>
    </row>
    <row r="87" spans="1:13" x14ac:dyDescent="0.2">
      <c r="A87" t="s">
        <v>85</v>
      </c>
      <c r="B87">
        <v>214826</v>
      </c>
      <c r="C87" s="1">
        <v>40969.375914351855</v>
      </c>
      <c r="D87" t="str">
        <f t="shared" si="2"/>
        <v>PPO</v>
      </c>
      <c r="F87" t="s">
        <v>136</v>
      </c>
      <c r="G87" t="s">
        <v>144</v>
      </c>
      <c r="H87" t="s">
        <v>140</v>
      </c>
      <c r="I87">
        <v>7</v>
      </c>
      <c r="J87">
        <v>500</v>
      </c>
      <c r="K87" s="4">
        <v>1E-4</v>
      </c>
      <c r="L87">
        <v>99</v>
      </c>
      <c r="M87" t="s">
        <v>142</v>
      </c>
    </row>
    <row r="88" spans="1:13" x14ac:dyDescent="0.2">
      <c r="A88" t="s">
        <v>86</v>
      </c>
      <c r="B88">
        <v>214826</v>
      </c>
      <c r="C88" s="1">
        <v>40969.383136574077</v>
      </c>
      <c r="D88" t="str">
        <f t="shared" si="2"/>
        <v>PPO</v>
      </c>
      <c r="F88" t="s">
        <v>136</v>
      </c>
      <c r="G88" t="s">
        <v>144</v>
      </c>
      <c r="H88" t="s">
        <v>140</v>
      </c>
      <c r="I88">
        <v>8</v>
      </c>
      <c r="J88">
        <v>500</v>
      </c>
      <c r="K88" s="4">
        <v>1E-4</v>
      </c>
      <c r="L88">
        <v>99</v>
      </c>
      <c r="M88" t="s">
        <v>142</v>
      </c>
    </row>
    <row r="89" spans="1:13" x14ac:dyDescent="0.2">
      <c r="A89" t="s">
        <v>87</v>
      </c>
      <c r="B89">
        <v>214827</v>
      </c>
      <c r="C89" s="1">
        <v>40969.38554398148</v>
      </c>
      <c r="D89" t="str">
        <f t="shared" si="2"/>
        <v>PPO</v>
      </c>
      <c r="F89" t="s">
        <v>136</v>
      </c>
      <c r="G89" t="s">
        <v>144</v>
      </c>
      <c r="H89" t="s">
        <v>140</v>
      </c>
      <c r="I89">
        <v>9</v>
      </c>
      <c r="J89">
        <v>500</v>
      </c>
      <c r="K89" s="4">
        <v>1E-4</v>
      </c>
      <c r="L89">
        <v>99</v>
      </c>
      <c r="M89" t="s">
        <v>142</v>
      </c>
    </row>
    <row r="90" spans="1:13" x14ac:dyDescent="0.2">
      <c r="A90" t="s">
        <v>88</v>
      </c>
      <c r="B90">
        <v>252929</v>
      </c>
      <c r="C90" s="1">
        <v>38412.623888888891</v>
      </c>
      <c r="D90" t="str">
        <f t="shared" si="2"/>
        <v>PPO</v>
      </c>
      <c r="F90" t="s">
        <v>136</v>
      </c>
      <c r="G90" t="s">
        <v>145</v>
      </c>
      <c r="H90" t="s">
        <v>140</v>
      </c>
      <c r="I90">
        <v>15</v>
      </c>
      <c r="J90">
        <v>500</v>
      </c>
      <c r="K90" s="4">
        <v>1E-4</v>
      </c>
      <c r="L90">
        <v>99</v>
      </c>
      <c r="M90" t="s">
        <v>141</v>
      </c>
    </row>
    <row r="91" spans="1:13" x14ac:dyDescent="0.2">
      <c r="A91" t="s">
        <v>89</v>
      </c>
      <c r="B91">
        <v>252929</v>
      </c>
      <c r="C91" s="1">
        <v>38412.627627314818</v>
      </c>
      <c r="D91" t="str">
        <f t="shared" si="2"/>
        <v>PPO</v>
      </c>
      <c r="F91" t="s">
        <v>136</v>
      </c>
      <c r="G91" t="s">
        <v>145</v>
      </c>
      <c r="H91" t="s">
        <v>140</v>
      </c>
      <c r="I91">
        <v>17</v>
      </c>
      <c r="J91">
        <v>500</v>
      </c>
      <c r="K91" s="4">
        <v>1E-4</v>
      </c>
      <c r="L91">
        <v>99</v>
      </c>
      <c r="M91" t="s">
        <v>141</v>
      </c>
    </row>
    <row r="92" spans="1:13" x14ac:dyDescent="0.2">
      <c r="A92" t="s">
        <v>90</v>
      </c>
      <c r="B92">
        <v>252929</v>
      </c>
      <c r="C92" s="1">
        <v>38412.631331018521</v>
      </c>
      <c r="D92" t="str">
        <f t="shared" si="2"/>
        <v>PPO</v>
      </c>
      <c r="F92" t="s">
        <v>136</v>
      </c>
      <c r="G92" t="s">
        <v>145</v>
      </c>
      <c r="H92" t="s">
        <v>140</v>
      </c>
      <c r="I92">
        <v>19</v>
      </c>
      <c r="J92">
        <v>500</v>
      </c>
      <c r="K92" s="4">
        <v>1E-4</v>
      </c>
      <c r="L92">
        <v>99</v>
      </c>
      <c r="M92" t="s">
        <v>141</v>
      </c>
    </row>
    <row r="93" spans="1:13" x14ac:dyDescent="0.2">
      <c r="A93" t="s">
        <v>91</v>
      </c>
      <c r="B93">
        <v>252930</v>
      </c>
      <c r="C93" s="1">
        <v>40969.369664351849</v>
      </c>
      <c r="D93" t="str">
        <f t="shared" si="2"/>
        <v>PPO</v>
      </c>
      <c r="F93" t="s">
        <v>136</v>
      </c>
      <c r="G93" t="s">
        <v>145</v>
      </c>
      <c r="H93" t="s">
        <v>140</v>
      </c>
      <c r="I93">
        <v>19</v>
      </c>
      <c r="J93">
        <v>500</v>
      </c>
      <c r="K93" s="4">
        <v>1E-4</v>
      </c>
      <c r="L93">
        <v>99</v>
      </c>
      <c r="M93" t="s">
        <v>142</v>
      </c>
    </row>
    <row r="94" spans="1:13" x14ac:dyDescent="0.2">
      <c r="A94" t="s">
        <v>92</v>
      </c>
      <c r="B94">
        <v>252930</v>
      </c>
      <c r="C94" s="1">
        <v>40969.372337962966</v>
      </c>
      <c r="D94" t="str">
        <f t="shared" si="2"/>
        <v>PPO</v>
      </c>
      <c r="F94" t="s">
        <v>136</v>
      </c>
      <c r="G94" t="s">
        <v>145</v>
      </c>
      <c r="H94" t="s">
        <v>140</v>
      </c>
      <c r="I94">
        <v>20</v>
      </c>
      <c r="J94">
        <v>500</v>
      </c>
      <c r="K94" s="4">
        <v>1E-4</v>
      </c>
      <c r="L94">
        <v>99</v>
      </c>
      <c r="M94" t="s">
        <v>142</v>
      </c>
    </row>
    <row r="95" spans="1:13" x14ac:dyDescent="0.2">
      <c r="A95" t="s">
        <v>93</v>
      </c>
      <c r="B95">
        <v>252930</v>
      </c>
      <c r="C95" s="1">
        <v>40969.375902777778</v>
      </c>
      <c r="D95" t="str">
        <f t="shared" si="2"/>
        <v>PPO</v>
      </c>
      <c r="F95" t="s">
        <v>136</v>
      </c>
      <c r="G95" t="s">
        <v>145</v>
      </c>
      <c r="H95" t="s">
        <v>140</v>
      </c>
      <c r="I95">
        <v>7</v>
      </c>
      <c r="J95">
        <v>500</v>
      </c>
      <c r="K95" s="4">
        <v>1E-4</v>
      </c>
      <c r="L95">
        <v>99</v>
      </c>
      <c r="M95" t="s">
        <v>142</v>
      </c>
    </row>
    <row r="96" spans="1:13" x14ac:dyDescent="0.2">
      <c r="A96" t="s">
        <v>94</v>
      </c>
      <c r="B96">
        <v>252929</v>
      </c>
      <c r="C96" s="1">
        <v>40969.383113425924</v>
      </c>
      <c r="D96" t="str">
        <f t="shared" si="2"/>
        <v>PPO</v>
      </c>
      <c r="F96" t="s">
        <v>136</v>
      </c>
      <c r="G96" t="s">
        <v>145</v>
      </c>
      <c r="H96" t="s">
        <v>140</v>
      </c>
      <c r="I96">
        <v>8</v>
      </c>
      <c r="J96">
        <v>500</v>
      </c>
      <c r="K96" s="4">
        <v>1E-4</v>
      </c>
      <c r="L96">
        <v>99</v>
      </c>
      <c r="M96" t="s">
        <v>142</v>
      </c>
    </row>
    <row r="97" spans="1:13" x14ac:dyDescent="0.2">
      <c r="A97" t="s">
        <v>95</v>
      </c>
      <c r="B97">
        <v>252930</v>
      </c>
      <c r="C97" s="1">
        <v>40969.38553240741</v>
      </c>
      <c r="D97" t="str">
        <f t="shared" si="2"/>
        <v>PPO</v>
      </c>
      <c r="F97" t="s">
        <v>136</v>
      </c>
      <c r="G97" t="s">
        <v>145</v>
      </c>
      <c r="H97" t="s">
        <v>140</v>
      </c>
      <c r="I97">
        <v>9</v>
      </c>
      <c r="J97">
        <v>500</v>
      </c>
      <c r="K97" s="4">
        <v>1E-4</v>
      </c>
      <c r="L97">
        <v>99</v>
      </c>
      <c r="M97" t="s">
        <v>142</v>
      </c>
    </row>
    <row r="98" spans="1:13" x14ac:dyDescent="0.2">
      <c r="A98" t="s">
        <v>96</v>
      </c>
      <c r="B98">
        <v>113617</v>
      </c>
      <c r="C98" s="1">
        <v>38412.623923611114</v>
      </c>
      <c r="D98" t="str">
        <f t="shared" si="2"/>
        <v>REI</v>
      </c>
      <c r="F98" t="s">
        <v>146</v>
      </c>
      <c r="G98" t="s">
        <v>139</v>
      </c>
      <c r="H98" t="s">
        <v>140</v>
      </c>
      <c r="I98">
        <v>15</v>
      </c>
      <c r="J98">
        <v>500</v>
      </c>
      <c r="K98" s="4">
        <v>1E-4</v>
      </c>
      <c r="L98">
        <v>99</v>
      </c>
      <c r="M98" t="s">
        <v>141</v>
      </c>
    </row>
    <row r="99" spans="1:13" x14ac:dyDescent="0.2">
      <c r="A99" t="s">
        <v>97</v>
      </c>
      <c r="B99">
        <v>113617</v>
      </c>
      <c r="C99" s="1">
        <v>38412.627662037034</v>
      </c>
      <c r="D99" t="str">
        <f t="shared" ref="D99:D129" si="3">LEFT(A99,3)</f>
        <v>REI</v>
      </c>
      <c r="F99" t="s">
        <v>146</v>
      </c>
      <c r="G99" t="s">
        <v>139</v>
      </c>
      <c r="H99" t="s">
        <v>140</v>
      </c>
      <c r="I99">
        <v>17</v>
      </c>
      <c r="J99">
        <v>500</v>
      </c>
      <c r="K99" s="4">
        <v>1E-4</v>
      </c>
      <c r="L99">
        <v>99</v>
      </c>
      <c r="M99" t="s">
        <v>141</v>
      </c>
    </row>
    <row r="100" spans="1:13" x14ac:dyDescent="0.2">
      <c r="A100" t="s">
        <v>98</v>
      </c>
      <c r="B100">
        <v>113618</v>
      </c>
      <c r="C100" s="1">
        <v>38412.631365740737</v>
      </c>
      <c r="D100" t="str">
        <f t="shared" si="3"/>
        <v>REI</v>
      </c>
      <c r="F100" t="s">
        <v>146</v>
      </c>
      <c r="G100" t="s">
        <v>139</v>
      </c>
      <c r="H100" t="s">
        <v>140</v>
      </c>
      <c r="I100">
        <v>19</v>
      </c>
      <c r="J100">
        <v>500</v>
      </c>
      <c r="K100" s="4">
        <v>1E-4</v>
      </c>
      <c r="L100">
        <v>99</v>
      </c>
      <c r="M100" t="s">
        <v>141</v>
      </c>
    </row>
    <row r="101" spans="1:13" x14ac:dyDescent="0.2">
      <c r="A101" t="s">
        <v>99</v>
      </c>
      <c r="B101">
        <v>113618</v>
      </c>
      <c r="C101" s="1">
        <v>40969.440393518518</v>
      </c>
      <c r="D101" t="str">
        <f t="shared" si="3"/>
        <v>REI</v>
      </c>
      <c r="F101" t="s">
        <v>146</v>
      </c>
      <c r="G101" t="s">
        <v>139</v>
      </c>
      <c r="H101" t="s">
        <v>140</v>
      </c>
      <c r="I101">
        <v>19</v>
      </c>
      <c r="J101">
        <v>500</v>
      </c>
      <c r="K101" s="4">
        <v>1E-4</v>
      </c>
      <c r="L101">
        <v>99</v>
      </c>
      <c r="M101" t="s">
        <v>147</v>
      </c>
    </row>
    <row r="102" spans="1:13" x14ac:dyDescent="0.2">
      <c r="A102" t="s">
        <v>100</v>
      </c>
      <c r="B102">
        <v>113618</v>
      </c>
      <c r="C102" s="1">
        <v>40969.440393518518</v>
      </c>
      <c r="D102" t="str">
        <f t="shared" si="3"/>
        <v>REI</v>
      </c>
      <c r="F102" t="s">
        <v>146</v>
      </c>
      <c r="G102" t="s">
        <v>139</v>
      </c>
      <c r="H102" t="s">
        <v>140</v>
      </c>
      <c r="I102">
        <v>20</v>
      </c>
      <c r="J102">
        <v>500</v>
      </c>
      <c r="K102" s="4">
        <v>1E-4</v>
      </c>
      <c r="L102">
        <v>99</v>
      </c>
      <c r="M102" t="s">
        <v>147</v>
      </c>
    </row>
    <row r="103" spans="1:13" x14ac:dyDescent="0.2">
      <c r="A103" t="s">
        <v>101</v>
      </c>
      <c r="B103">
        <v>113617</v>
      </c>
      <c r="C103" s="1">
        <v>40969.440405092595</v>
      </c>
      <c r="D103" t="str">
        <f t="shared" si="3"/>
        <v>REI</v>
      </c>
      <c r="F103" t="s">
        <v>146</v>
      </c>
      <c r="G103" t="s">
        <v>139</v>
      </c>
      <c r="H103" t="s">
        <v>140</v>
      </c>
      <c r="I103">
        <v>7</v>
      </c>
      <c r="J103">
        <v>500</v>
      </c>
      <c r="K103" s="4">
        <v>1E-4</v>
      </c>
      <c r="L103">
        <v>99</v>
      </c>
      <c r="M103" t="s">
        <v>147</v>
      </c>
    </row>
    <row r="104" spans="1:13" x14ac:dyDescent="0.2">
      <c r="A104" t="s">
        <v>102</v>
      </c>
      <c r="B104">
        <v>113618</v>
      </c>
      <c r="C104" s="1">
        <v>40969.440520833334</v>
      </c>
      <c r="D104" t="str">
        <f t="shared" si="3"/>
        <v>REI</v>
      </c>
      <c r="F104" t="s">
        <v>146</v>
      </c>
      <c r="G104" t="s">
        <v>139</v>
      </c>
      <c r="H104" t="s">
        <v>140</v>
      </c>
      <c r="I104">
        <v>8</v>
      </c>
      <c r="J104">
        <v>500</v>
      </c>
      <c r="K104" s="4">
        <v>1E-4</v>
      </c>
      <c r="L104">
        <v>99</v>
      </c>
      <c r="M104" t="s">
        <v>147</v>
      </c>
    </row>
    <row r="105" spans="1:13" x14ac:dyDescent="0.2">
      <c r="A105" t="s">
        <v>103</v>
      </c>
      <c r="B105">
        <v>113617</v>
      </c>
      <c r="C105" s="1">
        <v>40969.440532407411</v>
      </c>
      <c r="D105" t="str">
        <f t="shared" si="3"/>
        <v>REI</v>
      </c>
      <c r="F105" t="s">
        <v>146</v>
      </c>
      <c r="G105" t="s">
        <v>139</v>
      </c>
      <c r="H105" t="s">
        <v>140</v>
      </c>
      <c r="I105">
        <v>9</v>
      </c>
      <c r="J105">
        <v>500</v>
      </c>
      <c r="K105" s="4">
        <v>1E-4</v>
      </c>
      <c r="L105">
        <v>99</v>
      </c>
      <c r="M105" t="s">
        <v>147</v>
      </c>
    </row>
    <row r="106" spans="1:13" x14ac:dyDescent="0.2">
      <c r="A106" t="s">
        <v>104</v>
      </c>
      <c r="B106">
        <v>97379</v>
      </c>
      <c r="C106" s="1">
        <v>38412.623912037037</v>
      </c>
      <c r="D106" t="str">
        <f t="shared" si="3"/>
        <v>REI</v>
      </c>
      <c r="F106" t="s">
        <v>146</v>
      </c>
      <c r="G106" t="s">
        <v>143</v>
      </c>
      <c r="H106" t="s">
        <v>140</v>
      </c>
      <c r="I106">
        <v>15</v>
      </c>
      <c r="J106">
        <v>500</v>
      </c>
      <c r="K106" s="4">
        <v>1E-4</v>
      </c>
      <c r="L106">
        <v>99</v>
      </c>
      <c r="M106" t="s">
        <v>141</v>
      </c>
    </row>
    <row r="107" spans="1:13" x14ac:dyDescent="0.2">
      <c r="A107" t="s">
        <v>105</v>
      </c>
      <c r="B107">
        <v>97378</v>
      </c>
      <c r="C107" s="1">
        <v>38412.627650462964</v>
      </c>
      <c r="D107" t="str">
        <f t="shared" si="3"/>
        <v>REI</v>
      </c>
      <c r="F107" t="s">
        <v>146</v>
      </c>
      <c r="G107" t="s">
        <v>143</v>
      </c>
      <c r="H107" t="s">
        <v>140</v>
      </c>
      <c r="I107">
        <v>17</v>
      </c>
      <c r="J107">
        <v>500</v>
      </c>
      <c r="K107" s="4">
        <v>1E-4</v>
      </c>
      <c r="L107">
        <v>99</v>
      </c>
      <c r="M107" t="s">
        <v>141</v>
      </c>
    </row>
    <row r="108" spans="1:13" x14ac:dyDescent="0.2">
      <c r="A108" t="s">
        <v>106</v>
      </c>
      <c r="B108">
        <v>97378</v>
      </c>
      <c r="C108" s="1">
        <v>38412.631354166668</v>
      </c>
      <c r="D108" t="str">
        <f t="shared" si="3"/>
        <v>REI</v>
      </c>
      <c r="F108" t="s">
        <v>146</v>
      </c>
      <c r="G108" t="s">
        <v>143</v>
      </c>
      <c r="H108" t="s">
        <v>140</v>
      </c>
      <c r="I108">
        <v>19</v>
      </c>
      <c r="J108">
        <v>500</v>
      </c>
      <c r="K108" s="4">
        <v>1E-4</v>
      </c>
      <c r="L108">
        <v>99</v>
      </c>
      <c r="M108" t="s">
        <v>141</v>
      </c>
    </row>
    <row r="109" spans="1:13" x14ac:dyDescent="0.2">
      <c r="A109" t="s">
        <v>107</v>
      </c>
      <c r="B109">
        <v>97379</v>
      </c>
      <c r="C109" s="1">
        <v>40969.369629629633</v>
      </c>
      <c r="D109" t="str">
        <f t="shared" si="3"/>
        <v>REI</v>
      </c>
      <c r="F109" t="s">
        <v>146</v>
      </c>
      <c r="G109" t="s">
        <v>143</v>
      </c>
      <c r="H109" t="s">
        <v>140</v>
      </c>
      <c r="I109">
        <v>19</v>
      </c>
      <c r="J109">
        <v>500</v>
      </c>
      <c r="K109" s="4">
        <v>1E-4</v>
      </c>
      <c r="L109">
        <v>99</v>
      </c>
      <c r="M109" t="s">
        <v>142</v>
      </c>
    </row>
    <row r="110" spans="1:13" x14ac:dyDescent="0.2">
      <c r="A110" t="s">
        <v>108</v>
      </c>
      <c r="B110">
        <v>97379</v>
      </c>
      <c r="C110" s="1">
        <v>40969.372303240743</v>
      </c>
      <c r="D110" t="str">
        <f t="shared" si="3"/>
        <v>REI</v>
      </c>
      <c r="F110" t="s">
        <v>146</v>
      </c>
      <c r="G110" t="s">
        <v>143</v>
      </c>
      <c r="H110" t="s">
        <v>140</v>
      </c>
      <c r="I110">
        <v>20</v>
      </c>
      <c r="J110">
        <v>500</v>
      </c>
      <c r="K110" s="4">
        <v>1E-4</v>
      </c>
      <c r="L110">
        <v>99</v>
      </c>
      <c r="M110" t="s">
        <v>142</v>
      </c>
    </row>
    <row r="111" spans="1:13" x14ac:dyDescent="0.2">
      <c r="A111" t="s">
        <v>109</v>
      </c>
      <c r="B111">
        <v>97379</v>
      </c>
      <c r="C111" s="1">
        <v>40969.375868055555</v>
      </c>
      <c r="D111" t="str">
        <f t="shared" si="3"/>
        <v>REI</v>
      </c>
      <c r="F111" t="s">
        <v>146</v>
      </c>
      <c r="G111" t="s">
        <v>143</v>
      </c>
      <c r="H111" t="s">
        <v>140</v>
      </c>
      <c r="I111">
        <v>7</v>
      </c>
      <c r="J111">
        <v>500</v>
      </c>
      <c r="K111" s="4">
        <v>1E-4</v>
      </c>
      <c r="L111">
        <v>99</v>
      </c>
      <c r="M111" t="s">
        <v>142</v>
      </c>
    </row>
    <row r="112" spans="1:13" x14ac:dyDescent="0.2">
      <c r="A112" t="s">
        <v>110</v>
      </c>
      <c r="B112">
        <v>97378</v>
      </c>
      <c r="C112" s="1">
        <v>40969.3830787037</v>
      </c>
      <c r="D112" t="str">
        <f t="shared" si="3"/>
        <v>REI</v>
      </c>
      <c r="F112" t="s">
        <v>146</v>
      </c>
      <c r="G112" t="s">
        <v>143</v>
      </c>
      <c r="H112" t="s">
        <v>140</v>
      </c>
      <c r="I112">
        <v>8</v>
      </c>
      <c r="J112">
        <v>500</v>
      </c>
      <c r="K112" s="4">
        <v>1E-4</v>
      </c>
      <c r="L112">
        <v>99</v>
      </c>
      <c r="M112" t="s">
        <v>142</v>
      </c>
    </row>
    <row r="113" spans="1:13" x14ac:dyDescent="0.2">
      <c r="A113" t="s">
        <v>111</v>
      </c>
      <c r="B113">
        <v>97379</v>
      </c>
      <c r="C113" s="1">
        <v>40969.385497685187</v>
      </c>
      <c r="D113" t="str">
        <f t="shared" si="3"/>
        <v>REI</v>
      </c>
      <c r="F113" t="s">
        <v>146</v>
      </c>
      <c r="G113" t="s">
        <v>143</v>
      </c>
      <c r="H113" t="s">
        <v>140</v>
      </c>
      <c r="I113">
        <v>9</v>
      </c>
      <c r="J113">
        <v>500</v>
      </c>
      <c r="K113" s="4">
        <v>1E-4</v>
      </c>
      <c r="L113">
        <v>99</v>
      </c>
      <c r="M113" t="s">
        <v>142</v>
      </c>
    </row>
    <row r="114" spans="1:13" x14ac:dyDescent="0.2">
      <c r="A114" t="s">
        <v>112</v>
      </c>
      <c r="B114">
        <v>214400</v>
      </c>
      <c r="C114" s="1">
        <v>38412.623923611114</v>
      </c>
      <c r="D114" t="str">
        <f t="shared" si="3"/>
        <v>REI</v>
      </c>
      <c r="F114" t="s">
        <v>146</v>
      </c>
      <c r="G114" t="s">
        <v>144</v>
      </c>
      <c r="H114" t="s">
        <v>140</v>
      </c>
      <c r="I114">
        <v>15</v>
      </c>
      <c r="J114">
        <v>500</v>
      </c>
      <c r="K114" s="4">
        <v>1E-4</v>
      </c>
      <c r="L114">
        <v>99</v>
      </c>
      <c r="M114" t="s">
        <v>141</v>
      </c>
    </row>
    <row r="115" spans="1:13" x14ac:dyDescent="0.2">
      <c r="A115" t="s">
        <v>113</v>
      </c>
      <c r="B115">
        <v>214400</v>
      </c>
      <c r="C115" s="1">
        <v>38412.62767361111</v>
      </c>
      <c r="D115" t="str">
        <f t="shared" si="3"/>
        <v>REI</v>
      </c>
      <c r="F115" t="s">
        <v>146</v>
      </c>
      <c r="G115" t="s">
        <v>144</v>
      </c>
      <c r="H115" t="s">
        <v>140</v>
      </c>
      <c r="I115">
        <v>17</v>
      </c>
      <c r="J115">
        <v>500</v>
      </c>
      <c r="K115" s="4">
        <v>1E-4</v>
      </c>
      <c r="L115">
        <v>99</v>
      </c>
      <c r="M115" t="s">
        <v>141</v>
      </c>
    </row>
    <row r="116" spans="1:13" x14ac:dyDescent="0.2">
      <c r="A116" t="s">
        <v>114</v>
      </c>
      <c r="B116">
        <v>214401</v>
      </c>
      <c r="C116" s="1">
        <v>38412.631377314814</v>
      </c>
      <c r="D116" t="str">
        <f t="shared" si="3"/>
        <v>REI</v>
      </c>
      <c r="F116" t="s">
        <v>146</v>
      </c>
      <c r="G116" t="s">
        <v>144</v>
      </c>
      <c r="H116" t="s">
        <v>140</v>
      </c>
      <c r="I116">
        <v>19</v>
      </c>
      <c r="J116">
        <v>500</v>
      </c>
      <c r="K116" s="4">
        <v>1E-4</v>
      </c>
      <c r="L116">
        <v>99</v>
      </c>
      <c r="M116" t="s">
        <v>141</v>
      </c>
    </row>
    <row r="117" spans="1:13" x14ac:dyDescent="0.2">
      <c r="A117" t="s">
        <v>115</v>
      </c>
      <c r="B117">
        <v>214401</v>
      </c>
      <c r="C117" s="1">
        <v>40969.369652777779</v>
      </c>
      <c r="D117" t="str">
        <f t="shared" si="3"/>
        <v>REI</v>
      </c>
      <c r="F117" t="s">
        <v>146</v>
      </c>
      <c r="G117" t="s">
        <v>144</v>
      </c>
      <c r="H117" t="s">
        <v>140</v>
      </c>
      <c r="I117">
        <v>19</v>
      </c>
      <c r="J117">
        <v>500</v>
      </c>
      <c r="K117" s="4">
        <v>1E-4</v>
      </c>
      <c r="L117">
        <v>99</v>
      </c>
      <c r="M117" t="s">
        <v>142</v>
      </c>
    </row>
    <row r="118" spans="1:13" x14ac:dyDescent="0.2">
      <c r="A118" t="s">
        <v>116</v>
      </c>
      <c r="B118">
        <v>214400</v>
      </c>
      <c r="C118" s="1">
        <v>40969.37232638889</v>
      </c>
      <c r="D118" t="str">
        <f t="shared" si="3"/>
        <v>REI</v>
      </c>
      <c r="F118" t="s">
        <v>146</v>
      </c>
      <c r="G118" t="s">
        <v>144</v>
      </c>
      <c r="H118" t="s">
        <v>140</v>
      </c>
      <c r="I118">
        <v>20</v>
      </c>
      <c r="J118">
        <v>500</v>
      </c>
      <c r="K118" s="4">
        <v>1E-4</v>
      </c>
      <c r="L118">
        <v>99</v>
      </c>
      <c r="M118" t="s">
        <v>142</v>
      </c>
    </row>
    <row r="119" spans="1:13" x14ac:dyDescent="0.2">
      <c r="A119" t="s">
        <v>117</v>
      </c>
      <c r="B119">
        <v>214400</v>
      </c>
      <c r="C119" s="1">
        <v>40969.375891203701</v>
      </c>
      <c r="D119" t="str">
        <f t="shared" si="3"/>
        <v>REI</v>
      </c>
      <c r="F119" t="s">
        <v>146</v>
      </c>
      <c r="G119" t="s">
        <v>144</v>
      </c>
      <c r="H119" t="s">
        <v>140</v>
      </c>
      <c r="I119">
        <v>7</v>
      </c>
      <c r="J119">
        <v>500</v>
      </c>
      <c r="K119" s="4">
        <v>1E-4</v>
      </c>
      <c r="L119">
        <v>99</v>
      </c>
      <c r="M119" t="s">
        <v>142</v>
      </c>
    </row>
    <row r="120" spans="1:13" x14ac:dyDescent="0.2">
      <c r="A120" t="s">
        <v>118</v>
      </c>
      <c r="B120">
        <v>214401</v>
      </c>
      <c r="C120" s="1">
        <v>40969.383101851854</v>
      </c>
      <c r="D120" t="str">
        <f t="shared" si="3"/>
        <v>REI</v>
      </c>
      <c r="F120" t="s">
        <v>146</v>
      </c>
      <c r="G120" t="s">
        <v>144</v>
      </c>
      <c r="H120" t="s">
        <v>140</v>
      </c>
      <c r="I120">
        <v>8</v>
      </c>
      <c r="J120">
        <v>500</v>
      </c>
      <c r="K120" s="4">
        <v>1E-4</v>
      </c>
      <c r="L120">
        <v>99</v>
      </c>
      <c r="M120" t="s">
        <v>142</v>
      </c>
    </row>
    <row r="121" spans="1:13" x14ac:dyDescent="0.2">
      <c r="A121" t="s">
        <v>119</v>
      </c>
      <c r="B121">
        <v>214401</v>
      </c>
      <c r="C121" s="1">
        <v>40969.385520833333</v>
      </c>
      <c r="D121" t="str">
        <f t="shared" si="3"/>
        <v>REI</v>
      </c>
      <c r="F121" t="s">
        <v>146</v>
      </c>
      <c r="G121" t="s">
        <v>144</v>
      </c>
      <c r="H121" t="s">
        <v>140</v>
      </c>
      <c r="I121">
        <v>9</v>
      </c>
      <c r="J121">
        <v>500</v>
      </c>
      <c r="K121" s="4">
        <v>1E-4</v>
      </c>
      <c r="L121">
        <v>99</v>
      </c>
      <c r="M121" t="s">
        <v>142</v>
      </c>
    </row>
    <row r="122" spans="1:13" x14ac:dyDescent="0.2">
      <c r="A122" t="s">
        <v>120</v>
      </c>
      <c r="B122">
        <v>252503</v>
      </c>
      <c r="C122" s="1">
        <v>38412.623912037037</v>
      </c>
      <c r="D122" t="str">
        <f t="shared" si="3"/>
        <v>REI</v>
      </c>
      <c r="F122" t="s">
        <v>146</v>
      </c>
      <c r="G122" t="s">
        <v>145</v>
      </c>
      <c r="H122" t="s">
        <v>140</v>
      </c>
      <c r="I122">
        <v>15</v>
      </c>
      <c r="J122">
        <v>500</v>
      </c>
      <c r="K122" s="4">
        <v>1E-4</v>
      </c>
      <c r="L122">
        <v>99</v>
      </c>
      <c r="M122" t="s">
        <v>141</v>
      </c>
    </row>
    <row r="123" spans="1:13" x14ac:dyDescent="0.2">
      <c r="A123" t="s">
        <v>121</v>
      </c>
      <c r="B123">
        <v>252503</v>
      </c>
      <c r="C123" s="1">
        <v>38412.627650462964</v>
      </c>
      <c r="D123" t="str">
        <f t="shared" si="3"/>
        <v>REI</v>
      </c>
      <c r="F123" t="s">
        <v>146</v>
      </c>
      <c r="G123" t="s">
        <v>145</v>
      </c>
      <c r="H123" t="s">
        <v>140</v>
      </c>
      <c r="I123">
        <v>17</v>
      </c>
      <c r="J123">
        <v>500</v>
      </c>
      <c r="K123" s="4">
        <v>1E-4</v>
      </c>
      <c r="L123">
        <v>99</v>
      </c>
      <c r="M123" t="s">
        <v>141</v>
      </c>
    </row>
    <row r="124" spans="1:13" x14ac:dyDescent="0.2">
      <c r="A124" t="s">
        <v>122</v>
      </c>
      <c r="B124">
        <v>252503</v>
      </c>
      <c r="C124" s="1">
        <v>38412.631354166668</v>
      </c>
      <c r="D124" t="str">
        <f t="shared" si="3"/>
        <v>REI</v>
      </c>
      <c r="F124" t="s">
        <v>146</v>
      </c>
      <c r="G124" t="s">
        <v>145</v>
      </c>
      <c r="H124" t="s">
        <v>140</v>
      </c>
      <c r="I124">
        <v>19</v>
      </c>
      <c r="J124">
        <v>500</v>
      </c>
      <c r="K124" s="4">
        <v>1E-4</v>
      </c>
      <c r="L124">
        <v>99</v>
      </c>
      <c r="M124" t="s">
        <v>141</v>
      </c>
    </row>
    <row r="125" spans="1:13" x14ac:dyDescent="0.2">
      <c r="A125" t="s">
        <v>123</v>
      </c>
      <c r="B125">
        <v>252503</v>
      </c>
      <c r="C125" s="1">
        <v>40969.453310185185</v>
      </c>
      <c r="D125" t="str">
        <f t="shared" si="3"/>
        <v>REI</v>
      </c>
      <c r="F125" t="s">
        <v>146</v>
      </c>
      <c r="G125" t="s">
        <v>145</v>
      </c>
      <c r="H125" t="s">
        <v>140</v>
      </c>
      <c r="I125">
        <v>19</v>
      </c>
      <c r="J125">
        <v>500</v>
      </c>
      <c r="K125" s="4">
        <v>1E-4</v>
      </c>
      <c r="L125">
        <v>99</v>
      </c>
      <c r="M125" t="s">
        <v>148</v>
      </c>
    </row>
    <row r="126" spans="1:13" x14ac:dyDescent="0.2">
      <c r="A126" t="s">
        <v>124</v>
      </c>
      <c r="B126">
        <v>252503</v>
      </c>
      <c r="C126" s="1">
        <v>40969.453321759262</v>
      </c>
      <c r="D126" t="str">
        <f t="shared" si="3"/>
        <v>REI</v>
      </c>
      <c r="F126" t="s">
        <v>146</v>
      </c>
      <c r="G126" t="s">
        <v>145</v>
      </c>
      <c r="H126" t="s">
        <v>140</v>
      </c>
      <c r="I126">
        <v>20</v>
      </c>
      <c r="J126">
        <v>500</v>
      </c>
      <c r="K126" s="4">
        <v>1E-4</v>
      </c>
      <c r="L126">
        <v>99</v>
      </c>
      <c r="M126" t="s">
        <v>148</v>
      </c>
    </row>
    <row r="127" spans="1:13" x14ac:dyDescent="0.2">
      <c r="A127" t="s">
        <v>125</v>
      </c>
      <c r="B127">
        <v>252503</v>
      </c>
      <c r="C127" s="1">
        <v>40969.453321759262</v>
      </c>
      <c r="D127" t="str">
        <f t="shared" si="3"/>
        <v>REI</v>
      </c>
      <c r="F127" t="s">
        <v>146</v>
      </c>
      <c r="G127" t="s">
        <v>145</v>
      </c>
      <c r="H127" t="s">
        <v>140</v>
      </c>
      <c r="I127">
        <v>7</v>
      </c>
      <c r="J127">
        <v>500</v>
      </c>
      <c r="K127" s="4">
        <v>1E-4</v>
      </c>
      <c r="L127">
        <v>99</v>
      </c>
      <c r="M127" t="s">
        <v>148</v>
      </c>
    </row>
    <row r="128" spans="1:13" x14ac:dyDescent="0.2">
      <c r="A128" t="s">
        <v>126</v>
      </c>
      <c r="B128">
        <v>252503</v>
      </c>
      <c r="C128" s="1">
        <v>40969.453449074077</v>
      </c>
      <c r="D128" t="str">
        <f t="shared" si="3"/>
        <v>REI</v>
      </c>
      <c r="F128" t="s">
        <v>146</v>
      </c>
      <c r="G128" t="s">
        <v>145</v>
      </c>
      <c r="H128" t="s">
        <v>140</v>
      </c>
      <c r="I128">
        <v>8</v>
      </c>
      <c r="J128">
        <v>500</v>
      </c>
      <c r="K128" s="4">
        <v>1E-4</v>
      </c>
      <c r="L128">
        <v>99</v>
      </c>
      <c r="M128" t="s">
        <v>148</v>
      </c>
    </row>
    <row r="129" spans="1:13" x14ac:dyDescent="0.2">
      <c r="A129" t="s">
        <v>127</v>
      </c>
      <c r="B129">
        <v>252504</v>
      </c>
      <c r="C129" s="1">
        <v>40969.453449074077</v>
      </c>
      <c r="D129" t="str">
        <f t="shared" si="3"/>
        <v>REI</v>
      </c>
      <c r="F129" t="s">
        <v>146</v>
      </c>
      <c r="G129" t="s">
        <v>145</v>
      </c>
      <c r="H129" t="s">
        <v>140</v>
      </c>
      <c r="I129">
        <v>9</v>
      </c>
      <c r="J129">
        <v>500</v>
      </c>
      <c r="K129" s="4">
        <v>1E-4</v>
      </c>
      <c r="L129">
        <v>99</v>
      </c>
      <c r="M129" t="s">
        <v>148</v>
      </c>
    </row>
  </sheetData>
  <autoFilter ref="A1:M129" xr:uid="{17D7C9B8-DF69-2E42-BA24-07CA2F8EBE79}"/>
  <sortState xmlns:xlrd2="http://schemas.microsoft.com/office/spreadsheetml/2017/richdata2" ref="A2:D261">
    <sortCondition ref="D2:D261"/>
    <sortCondition ref="A2:A261"/>
  </sortState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ADA85-069F-E345-92AD-7AFE3FC86879}">
  <dimension ref="A2:Q48"/>
  <sheetViews>
    <sheetView zoomScale="140" zoomScaleNormal="140" workbookViewId="0">
      <selection activeCell="B6" sqref="B6"/>
    </sheetView>
  </sheetViews>
  <sheetFormatPr baseColWidth="10" defaultRowHeight="18" x14ac:dyDescent="0.25"/>
  <cols>
    <col min="1" max="1" width="15.83203125" style="6" customWidth="1"/>
    <col min="2" max="2" width="19" style="6" bestFit="1" customWidth="1"/>
    <col min="3" max="3" width="16.1640625" style="6" bestFit="1" customWidth="1"/>
    <col min="4" max="4" width="14.5" style="6" bestFit="1" customWidth="1"/>
    <col min="5" max="5" width="21.5" style="6" bestFit="1" customWidth="1"/>
    <col min="6" max="6" width="10.83203125" style="6"/>
    <col min="7" max="7" width="19" style="6" bestFit="1" customWidth="1"/>
    <col min="8" max="8" width="14.1640625" style="6" bestFit="1" customWidth="1"/>
    <col min="9" max="10" width="10.83203125" style="6"/>
    <col min="11" max="11" width="19" style="6" bestFit="1" customWidth="1"/>
    <col min="12" max="12" width="19.83203125" style="6" bestFit="1" customWidth="1"/>
    <col min="13" max="13" width="14.5" style="6" bestFit="1" customWidth="1"/>
    <col min="14" max="14" width="16.1640625" style="6" bestFit="1" customWidth="1"/>
    <col min="15" max="15" width="10.83203125" style="6"/>
    <col min="16" max="16" width="19" style="6" bestFit="1" customWidth="1"/>
    <col min="17" max="17" width="17.83203125" style="6" bestFit="1" customWidth="1"/>
    <col min="18" max="16384" width="10.83203125" style="6"/>
  </cols>
  <sheetData>
    <row r="2" spans="1:17" x14ac:dyDescent="0.25">
      <c r="A2" s="6" t="s">
        <v>246</v>
      </c>
    </row>
    <row r="3" spans="1:17" x14ac:dyDescent="0.25">
      <c r="A3" s="6" t="s">
        <v>251</v>
      </c>
      <c r="B3" s="6" t="s">
        <v>252</v>
      </c>
      <c r="C3" s="7" t="s">
        <v>243</v>
      </c>
      <c r="D3" s="7" t="s">
        <v>244</v>
      </c>
      <c r="E3" s="7" t="s">
        <v>245</v>
      </c>
      <c r="G3" s="6" t="s">
        <v>241</v>
      </c>
      <c r="H3" s="6" t="s">
        <v>237</v>
      </c>
      <c r="K3" s="6" t="s">
        <v>140</v>
      </c>
      <c r="L3" s="6" t="s">
        <v>240</v>
      </c>
      <c r="M3" s="6" t="s">
        <v>239</v>
      </c>
      <c r="N3" s="6" t="s">
        <v>238</v>
      </c>
      <c r="P3" s="6" t="s">
        <v>151</v>
      </c>
      <c r="Q3" s="6" t="s">
        <v>140</v>
      </c>
    </row>
    <row r="4" spans="1:17" x14ac:dyDescent="0.25">
      <c r="A4" s="6" t="s">
        <v>134</v>
      </c>
      <c r="C4" s="8">
        <v>292542.95</v>
      </c>
      <c r="D4" s="8">
        <v>292.54295000000002</v>
      </c>
      <c r="E4" s="9">
        <v>2.4408053166885448</v>
      </c>
      <c r="G4" s="6" t="s">
        <v>134</v>
      </c>
      <c r="H4" s="6">
        <v>20</v>
      </c>
      <c r="K4" s="6" t="s">
        <v>134</v>
      </c>
      <c r="L4" s="8">
        <v>2.4424056925707136</v>
      </c>
      <c r="M4" s="8">
        <v>293.54568750000004</v>
      </c>
      <c r="N4" s="9">
        <v>293545.6875</v>
      </c>
    </row>
    <row r="5" spans="1:17" x14ac:dyDescent="0.25">
      <c r="B5" s="6" t="s">
        <v>247</v>
      </c>
      <c r="C5" s="8">
        <v>212791.8</v>
      </c>
      <c r="D5" s="8">
        <v>212.79180000000002</v>
      </c>
      <c r="E5" s="9">
        <v>2.3279548882680752</v>
      </c>
      <c r="G5" s="6" t="s">
        <v>247</v>
      </c>
      <c r="H5" s="6">
        <v>5</v>
      </c>
      <c r="K5" s="6" t="s">
        <v>247</v>
      </c>
      <c r="L5" s="8">
        <v>2.3311700855843003</v>
      </c>
      <c r="M5" s="8">
        <v>214.37300000000005</v>
      </c>
      <c r="N5" s="9">
        <v>214373</v>
      </c>
      <c r="P5" s="6" t="s">
        <v>133</v>
      </c>
      <c r="Q5" s="6" t="s">
        <v>242</v>
      </c>
    </row>
    <row r="6" spans="1:17" x14ac:dyDescent="0.25">
      <c r="B6" s="6" t="s">
        <v>248</v>
      </c>
      <c r="C6" s="8">
        <v>182297</v>
      </c>
      <c r="D6" s="8">
        <v>182.29700000000003</v>
      </c>
      <c r="E6" s="9">
        <v>2.2607795216687139</v>
      </c>
      <c r="G6" s="6" t="s">
        <v>248</v>
      </c>
      <c r="H6" s="6">
        <v>5</v>
      </c>
      <c r="K6" s="6" t="s">
        <v>248</v>
      </c>
      <c r="L6" s="8">
        <v>2.261488583764625</v>
      </c>
      <c r="M6" s="8">
        <v>182.594875</v>
      </c>
      <c r="N6" s="9">
        <v>182594.875</v>
      </c>
      <c r="P6" s="6" t="s">
        <v>134</v>
      </c>
      <c r="Q6" s="6">
        <v>32</v>
      </c>
    </row>
    <row r="7" spans="1:17" x14ac:dyDescent="0.25">
      <c r="B7" s="6" t="s">
        <v>249</v>
      </c>
      <c r="C7" s="8">
        <v>414772.6</v>
      </c>
      <c r="D7" s="8">
        <v>414.77259999999995</v>
      </c>
      <c r="E7" s="9">
        <v>2.6178100590389795</v>
      </c>
      <c r="G7" s="6" t="s">
        <v>249</v>
      </c>
      <c r="H7" s="6">
        <v>5</v>
      </c>
      <c r="K7" s="6" t="s">
        <v>249</v>
      </c>
      <c r="L7" s="8">
        <v>2.6183908186057803</v>
      </c>
      <c r="M7" s="8">
        <v>415.32762500000001</v>
      </c>
      <c r="N7" s="9">
        <v>415327.625</v>
      </c>
      <c r="P7" s="6" t="s">
        <v>247</v>
      </c>
      <c r="Q7" s="6">
        <v>8</v>
      </c>
    </row>
    <row r="8" spans="1:17" x14ac:dyDescent="0.25">
      <c r="B8" s="6" t="s">
        <v>250</v>
      </c>
      <c r="C8" s="8">
        <v>360310.4</v>
      </c>
      <c r="D8" s="8">
        <v>360.31039999999996</v>
      </c>
      <c r="E8" s="9">
        <v>2.5566767977784108</v>
      </c>
      <c r="G8" s="6" t="s">
        <v>250</v>
      </c>
      <c r="H8" s="6">
        <v>5</v>
      </c>
      <c r="K8" s="6" t="s">
        <v>250</v>
      </c>
      <c r="L8" s="8">
        <v>2.5585732823281502</v>
      </c>
      <c r="M8" s="8">
        <v>361.88724999999999</v>
      </c>
      <c r="N8" s="9">
        <v>361887.25</v>
      </c>
      <c r="P8" s="6" t="s">
        <v>248</v>
      </c>
      <c r="Q8" s="6">
        <v>8</v>
      </c>
    </row>
    <row r="9" spans="1:17" x14ac:dyDescent="0.25">
      <c r="A9" s="6" t="s">
        <v>135</v>
      </c>
      <c r="C9" s="8">
        <v>417715.05</v>
      </c>
      <c r="D9" s="8">
        <v>417.71504999999996</v>
      </c>
      <c r="E9" s="9">
        <v>2.5697120270179417</v>
      </c>
      <c r="G9" s="6" t="s">
        <v>135</v>
      </c>
      <c r="H9" s="6">
        <v>20</v>
      </c>
      <c r="K9" s="6" t="s">
        <v>135</v>
      </c>
      <c r="L9" s="8">
        <v>2.5721983340137329</v>
      </c>
      <c r="M9" s="8">
        <v>419.72906249999994</v>
      </c>
      <c r="N9" s="9">
        <v>419729.0625</v>
      </c>
      <c r="P9" s="6" t="s">
        <v>249</v>
      </c>
      <c r="Q9" s="6">
        <v>8</v>
      </c>
    </row>
    <row r="10" spans="1:17" x14ac:dyDescent="0.25">
      <c r="B10" s="6" t="s">
        <v>247</v>
      </c>
      <c r="C10" s="8">
        <v>259844.4</v>
      </c>
      <c r="D10" s="8">
        <v>259.84440000000001</v>
      </c>
      <c r="E10" s="9">
        <v>2.4147133615827046</v>
      </c>
      <c r="G10" s="6" t="s">
        <v>247</v>
      </c>
      <c r="H10" s="6">
        <v>5</v>
      </c>
      <c r="K10" s="6" t="s">
        <v>247</v>
      </c>
      <c r="L10" s="8">
        <v>2.4198954714420928</v>
      </c>
      <c r="M10" s="8">
        <v>262.96349999999995</v>
      </c>
      <c r="N10" s="9">
        <v>262963.5</v>
      </c>
      <c r="P10" s="6" t="s">
        <v>250</v>
      </c>
      <c r="Q10" s="6">
        <v>8</v>
      </c>
    </row>
    <row r="11" spans="1:17" x14ac:dyDescent="0.25">
      <c r="B11" s="6" t="s">
        <v>248</v>
      </c>
      <c r="C11" s="8">
        <v>201531.8</v>
      </c>
      <c r="D11" s="8">
        <v>201.5318</v>
      </c>
      <c r="E11" s="9">
        <v>2.3043435838246671</v>
      </c>
      <c r="G11" s="6" t="s">
        <v>248</v>
      </c>
      <c r="H11" s="6">
        <v>5</v>
      </c>
      <c r="K11" s="6" t="s">
        <v>248</v>
      </c>
      <c r="L11" s="8">
        <v>2.3059532133171765</v>
      </c>
      <c r="M11" s="8">
        <v>202.280125</v>
      </c>
      <c r="N11" s="9">
        <v>202280.125</v>
      </c>
      <c r="P11" s="6" t="s">
        <v>135</v>
      </c>
      <c r="Q11" s="6">
        <v>32</v>
      </c>
    </row>
    <row r="12" spans="1:17" x14ac:dyDescent="0.25">
      <c r="B12" s="6" t="s">
        <v>249</v>
      </c>
      <c r="C12" s="8">
        <v>657745.6</v>
      </c>
      <c r="D12" s="8">
        <v>657.74559999999997</v>
      </c>
      <c r="E12" s="9">
        <v>2.8180579515440511</v>
      </c>
      <c r="G12" s="6" t="s">
        <v>249</v>
      </c>
      <c r="H12" s="6">
        <v>5</v>
      </c>
      <c r="K12" s="6" t="s">
        <v>249</v>
      </c>
      <c r="L12" s="8">
        <v>2.8187655386958137</v>
      </c>
      <c r="M12" s="8">
        <v>658.81812500000001</v>
      </c>
      <c r="N12" s="9">
        <v>658818.125</v>
      </c>
      <c r="P12" s="6" t="s">
        <v>247</v>
      </c>
      <c r="Q12" s="6">
        <v>8</v>
      </c>
    </row>
    <row r="13" spans="1:17" x14ac:dyDescent="0.25">
      <c r="B13" s="6" t="s">
        <v>250</v>
      </c>
      <c r="C13" s="8">
        <v>551738.4</v>
      </c>
      <c r="D13" s="8">
        <v>551.73839999999996</v>
      </c>
      <c r="E13" s="9">
        <v>2.7417332111203452</v>
      </c>
      <c r="G13" s="6" t="s">
        <v>250</v>
      </c>
      <c r="H13" s="6">
        <v>5</v>
      </c>
      <c r="K13" s="6" t="s">
        <v>250</v>
      </c>
      <c r="L13" s="8">
        <v>2.7441791125998463</v>
      </c>
      <c r="M13" s="8">
        <v>554.85450000000003</v>
      </c>
      <c r="N13" s="9">
        <v>554854.5</v>
      </c>
      <c r="P13" s="6" t="s">
        <v>248</v>
      </c>
      <c r="Q13" s="6">
        <v>8</v>
      </c>
    </row>
    <row r="14" spans="1:17" x14ac:dyDescent="0.25">
      <c r="A14" s="6" t="s">
        <v>136</v>
      </c>
      <c r="C14" s="8">
        <v>169379.95</v>
      </c>
      <c r="D14" s="8">
        <v>169.37994999999998</v>
      </c>
      <c r="E14" s="9">
        <v>2.1941702565231092</v>
      </c>
      <c r="G14" s="6" t="s">
        <v>136</v>
      </c>
      <c r="H14" s="6">
        <v>20</v>
      </c>
      <c r="K14" s="6" t="s">
        <v>136</v>
      </c>
      <c r="L14" s="8">
        <v>2.1956293604114183</v>
      </c>
      <c r="M14" s="8">
        <v>169.90106250000008</v>
      </c>
      <c r="N14" s="9">
        <v>169901.0625</v>
      </c>
      <c r="P14" s="6" t="s">
        <v>249</v>
      </c>
      <c r="Q14" s="6">
        <v>8</v>
      </c>
    </row>
    <row r="15" spans="1:17" x14ac:dyDescent="0.25">
      <c r="B15" s="6" t="s">
        <v>247</v>
      </c>
      <c r="C15" s="8">
        <v>113234.2</v>
      </c>
      <c r="D15" s="8">
        <v>113.23419999999999</v>
      </c>
      <c r="E15" s="9">
        <v>2.0539776161433334</v>
      </c>
      <c r="G15" s="6" t="s">
        <v>247</v>
      </c>
      <c r="H15" s="6">
        <v>5</v>
      </c>
      <c r="K15" s="6" t="s">
        <v>247</v>
      </c>
      <c r="L15" s="8">
        <v>2.0570710133728634</v>
      </c>
      <c r="M15" s="8">
        <v>114.04362499999999</v>
      </c>
      <c r="N15" s="9">
        <v>114043.625</v>
      </c>
      <c r="P15" s="6" t="s">
        <v>250</v>
      </c>
      <c r="Q15" s="6">
        <v>8</v>
      </c>
    </row>
    <row r="16" spans="1:17" x14ac:dyDescent="0.25">
      <c r="B16" s="6" t="s">
        <v>248</v>
      </c>
      <c r="C16" s="8">
        <v>97635.6</v>
      </c>
      <c r="D16" s="8">
        <v>97.635599999999997</v>
      </c>
      <c r="E16" s="9">
        <v>1.9896081994699433</v>
      </c>
      <c r="G16" s="6" t="s">
        <v>248</v>
      </c>
      <c r="H16" s="6">
        <v>5</v>
      </c>
      <c r="K16" s="6" t="s">
        <v>248</v>
      </c>
      <c r="L16" s="8">
        <v>1.9903588371971461</v>
      </c>
      <c r="M16" s="8">
        <v>97.80449999999999</v>
      </c>
      <c r="N16" s="9">
        <v>97804.5</v>
      </c>
      <c r="P16" s="6" t="s">
        <v>136</v>
      </c>
      <c r="Q16" s="6">
        <v>32</v>
      </c>
    </row>
    <row r="17" spans="1:17" x14ac:dyDescent="0.25">
      <c r="B17" s="6" t="s">
        <v>249</v>
      </c>
      <c r="C17" s="8">
        <v>214529.6</v>
      </c>
      <c r="D17" s="8">
        <v>214.52959999999999</v>
      </c>
      <c r="E17" s="9">
        <v>2.3314872229987378</v>
      </c>
      <c r="G17" s="6" t="s">
        <v>249</v>
      </c>
      <c r="H17" s="6">
        <v>5</v>
      </c>
      <c r="K17" s="6" t="s">
        <v>249</v>
      </c>
      <c r="L17" s="8">
        <v>2.332088105583225</v>
      </c>
      <c r="M17" s="8">
        <v>214.82662500000001</v>
      </c>
      <c r="N17" s="9">
        <v>214826.625</v>
      </c>
      <c r="P17" s="6" t="s">
        <v>247</v>
      </c>
      <c r="Q17" s="6">
        <v>8</v>
      </c>
    </row>
    <row r="18" spans="1:17" x14ac:dyDescent="0.25">
      <c r="B18" s="6" t="s">
        <v>250</v>
      </c>
      <c r="C18" s="8">
        <v>252120.4</v>
      </c>
      <c r="D18" s="8">
        <v>252.12039999999996</v>
      </c>
      <c r="E18" s="9">
        <v>2.4016079874804226</v>
      </c>
      <c r="G18" s="6" t="s">
        <v>250</v>
      </c>
      <c r="H18" s="6">
        <v>5</v>
      </c>
      <c r="K18" s="6" t="s">
        <v>250</v>
      </c>
      <c r="L18" s="8">
        <v>2.4029994854924386</v>
      </c>
      <c r="M18" s="8">
        <v>252.92950000000005</v>
      </c>
      <c r="N18" s="9">
        <v>252929.5</v>
      </c>
      <c r="P18" s="6" t="s">
        <v>248</v>
      </c>
      <c r="Q18" s="6">
        <v>8</v>
      </c>
    </row>
    <row r="19" spans="1:17" x14ac:dyDescent="0.25">
      <c r="A19" s="6" t="s">
        <v>146</v>
      </c>
      <c r="C19" s="8">
        <v>168953.60000000001</v>
      </c>
      <c r="D19" s="8">
        <v>168.95360000000002</v>
      </c>
      <c r="E19" s="9">
        <v>2.19288568532152</v>
      </c>
      <c r="G19" s="6" t="s">
        <v>146</v>
      </c>
      <c r="H19" s="6">
        <v>20</v>
      </c>
      <c r="K19" s="6" t="s">
        <v>146</v>
      </c>
      <c r="L19" s="8">
        <v>2.1943503545275282</v>
      </c>
      <c r="M19" s="8">
        <v>169.47493749999992</v>
      </c>
      <c r="N19" s="9">
        <v>169474.9375</v>
      </c>
      <c r="P19" s="6" t="s">
        <v>249</v>
      </c>
      <c r="Q19" s="6">
        <v>8</v>
      </c>
    </row>
    <row r="20" spans="1:17" x14ac:dyDescent="0.25">
      <c r="B20" s="6" t="s">
        <v>247</v>
      </c>
      <c r="C20" s="8">
        <v>112808</v>
      </c>
      <c r="D20" s="8">
        <v>112.80800000000002</v>
      </c>
      <c r="E20" s="9">
        <v>2.0523398995822255</v>
      </c>
      <c r="G20" s="6" t="s">
        <v>247</v>
      </c>
      <c r="H20" s="6">
        <v>5</v>
      </c>
      <c r="K20" s="6" t="s">
        <v>247</v>
      </c>
      <c r="L20" s="8">
        <v>2.0554452289772587</v>
      </c>
      <c r="M20" s="8">
        <v>113.61749999999998</v>
      </c>
      <c r="N20" s="9">
        <v>113617.5</v>
      </c>
      <c r="P20" s="6" t="s">
        <v>250</v>
      </c>
      <c r="Q20" s="6">
        <v>8</v>
      </c>
    </row>
    <row r="21" spans="1:17" x14ac:dyDescent="0.25">
      <c r="B21" s="6" t="s">
        <v>248</v>
      </c>
      <c r="C21" s="8">
        <v>97209</v>
      </c>
      <c r="D21" s="8">
        <v>97.209000000000003</v>
      </c>
      <c r="E21" s="9">
        <v>1.98770647551673</v>
      </c>
      <c r="G21" s="6" t="s">
        <v>248</v>
      </c>
      <c r="H21" s="6">
        <v>5</v>
      </c>
      <c r="K21" s="6" t="s">
        <v>248</v>
      </c>
      <c r="L21" s="8">
        <v>1.9884636379481051</v>
      </c>
      <c r="M21" s="8">
        <v>97.378625000000014</v>
      </c>
      <c r="N21" s="9">
        <v>97378.625</v>
      </c>
      <c r="P21" s="6" t="s">
        <v>146</v>
      </c>
      <c r="Q21" s="6">
        <v>32</v>
      </c>
    </row>
    <row r="22" spans="1:17" x14ac:dyDescent="0.25">
      <c r="B22" s="6" t="s">
        <v>249</v>
      </c>
      <c r="C22" s="8">
        <v>214103.2</v>
      </c>
      <c r="D22" s="8">
        <v>214.10320000000002</v>
      </c>
      <c r="E22" s="9">
        <v>2.3306231583350465</v>
      </c>
      <c r="G22" s="6" t="s">
        <v>249</v>
      </c>
      <c r="H22" s="6">
        <v>5</v>
      </c>
      <c r="K22" s="6" t="s">
        <v>249</v>
      </c>
      <c r="L22" s="8">
        <v>2.3312257938319947</v>
      </c>
      <c r="M22" s="8">
        <v>214.40050000000005</v>
      </c>
      <c r="N22" s="9">
        <v>214400.5</v>
      </c>
      <c r="P22" s="6" t="s">
        <v>247</v>
      </c>
      <c r="Q22" s="6">
        <v>8</v>
      </c>
    </row>
    <row r="23" spans="1:17" x14ac:dyDescent="0.25">
      <c r="B23" s="6" t="s">
        <v>250</v>
      </c>
      <c r="C23" s="8">
        <v>251694.2</v>
      </c>
      <c r="D23" s="8">
        <v>251.6942</v>
      </c>
      <c r="E23" s="9">
        <v>2.4008732078520754</v>
      </c>
      <c r="G23" s="6" t="s">
        <v>250</v>
      </c>
      <c r="H23" s="6">
        <v>5</v>
      </c>
      <c r="K23" s="6" t="s">
        <v>250</v>
      </c>
      <c r="L23" s="8">
        <v>2.4022667573527534</v>
      </c>
      <c r="M23" s="8">
        <v>252.50312499999995</v>
      </c>
      <c r="N23" s="9">
        <v>252503.125</v>
      </c>
      <c r="P23" s="6" t="s">
        <v>248</v>
      </c>
      <c r="Q23" s="6">
        <v>8</v>
      </c>
    </row>
    <row r="24" spans="1:17" x14ac:dyDescent="0.25">
      <c r="C24" s="8"/>
      <c r="D24" s="8"/>
      <c r="E24" s="9"/>
      <c r="K24" s="6" t="s">
        <v>137</v>
      </c>
      <c r="L24" s="8"/>
      <c r="M24" s="8"/>
      <c r="N24" s="9"/>
      <c r="P24" s="6" t="s">
        <v>249</v>
      </c>
      <c r="Q24" s="6">
        <v>8</v>
      </c>
    </row>
    <row r="25" spans="1:17" x14ac:dyDescent="0.25">
      <c r="C25" s="8"/>
      <c r="D25" s="8"/>
      <c r="E25" s="9"/>
      <c r="K25" s="6" t="s">
        <v>137</v>
      </c>
      <c r="L25" s="8"/>
      <c r="M25" s="8"/>
      <c r="N25" s="9"/>
      <c r="P25" s="6" t="s">
        <v>250</v>
      </c>
      <c r="Q25" s="6">
        <v>8</v>
      </c>
    </row>
    <row r="26" spans="1:17" x14ac:dyDescent="0.25">
      <c r="C26" s="8"/>
      <c r="D26" s="8"/>
      <c r="E26" s="9"/>
      <c r="K26" s="6" t="s">
        <v>138</v>
      </c>
      <c r="L26" s="8">
        <v>2.3511459353808477</v>
      </c>
      <c r="M26" s="8">
        <v>263.16268750000023</v>
      </c>
      <c r="N26" s="9">
        <v>263162.6875</v>
      </c>
      <c r="P26" s="6" t="s">
        <v>138</v>
      </c>
      <c r="Q26" s="6">
        <v>128</v>
      </c>
    </row>
    <row r="28" spans="1:17" x14ac:dyDescent="0.25">
      <c r="A28" s="6" t="s">
        <v>140</v>
      </c>
      <c r="B28" s="6" t="s">
        <v>252</v>
      </c>
      <c r="C28" s="7" t="s">
        <v>243</v>
      </c>
      <c r="D28" s="7" t="s">
        <v>244</v>
      </c>
      <c r="E28" s="7" t="s">
        <v>245</v>
      </c>
    </row>
    <row r="29" spans="1:17" x14ac:dyDescent="0.25">
      <c r="A29" s="6" t="s">
        <v>134</v>
      </c>
      <c r="C29" s="8">
        <v>293545.6875</v>
      </c>
      <c r="D29" s="8">
        <v>293.54568750000004</v>
      </c>
      <c r="E29" s="9">
        <v>2.4424056925707136</v>
      </c>
    </row>
    <row r="30" spans="1:17" x14ac:dyDescent="0.25">
      <c r="B30" s="6" t="s">
        <v>247</v>
      </c>
      <c r="C30" s="8">
        <v>214373</v>
      </c>
      <c r="D30" s="8">
        <v>214.37300000000005</v>
      </c>
      <c r="E30" s="9">
        <v>2.3311700855843003</v>
      </c>
    </row>
    <row r="31" spans="1:17" x14ac:dyDescent="0.25">
      <c r="B31" s="6" t="s">
        <v>248</v>
      </c>
      <c r="C31" s="8">
        <v>182594.875</v>
      </c>
      <c r="D31" s="8">
        <v>182.594875</v>
      </c>
      <c r="E31" s="9">
        <v>2.261488583764625</v>
      </c>
    </row>
    <row r="32" spans="1:17" x14ac:dyDescent="0.25">
      <c r="B32" s="6" t="s">
        <v>249</v>
      </c>
      <c r="C32" s="8">
        <v>415327.625</v>
      </c>
      <c r="D32" s="8">
        <v>415.32762500000001</v>
      </c>
      <c r="E32" s="9">
        <v>2.6183908186057803</v>
      </c>
    </row>
    <row r="33" spans="1:5" x14ac:dyDescent="0.25">
      <c r="B33" s="6" t="s">
        <v>250</v>
      </c>
      <c r="C33" s="8">
        <v>361887.25</v>
      </c>
      <c r="D33" s="8">
        <v>361.88724999999999</v>
      </c>
      <c r="E33" s="9">
        <v>2.5585732823281502</v>
      </c>
    </row>
    <row r="34" spans="1:5" x14ac:dyDescent="0.25">
      <c r="A34" s="6" t="s">
        <v>135</v>
      </c>
      <c r="C34" s="8">
        <v>419729.0625</v>
      </c>
      <c r="D34" s="8">
        <v>419.72906249999994</v>
      </c>
      <c r="E34" s="9">
        <v>2.5721983340137329</v>
      </c>
    </row>
    <row r="35" spans="1:5" x14ac:dyDescent="0.25">
      <c r="B35" s="6" t="s">
        <v>247</v>
      </c>
      <c r="C35" s="8">
        <v>262963.5</v>
      </c>
      <c r="D35" s="8">
        <v>262.96349999999995</v>
      </c>
      <c r="E35" s="9">
        <v>2.4198954714420928</v>
      </c>
    </row>
    <row r="36" spans="1:5" x14ac:dyDescent="0.25">
      <c r="B36" s="6" t="s">
        <v>248</v>
      </c>
      <c r="C36" s="8">
        <v>202280.125</v>
      </c>
      <c r="D36" s="8">
        <v>202.280125</v>
      </c>
      <c r="E36" s="9">
        <v>2.3059532133171765</v>
      </c>
    </row>
    <row r="37" spans="1:5" x14ac:dyDescent="0.25">
      <c r="B37" s="6" t="s">
        <v>249</v>
      </c>
      <c r="C37" s="8">
        <v>658818.125</v>
      </c>
      <c r="D37" s="8">
        <v>658.81812500000001</v>
      </c>
      <c r="E37" s="9">
        <v>2.8187655386958137</v>
      </c>
    </row>
    <row r="38" spans="1:5" x14ac:dyDescent="0.25">
      <c r="B38" s="6" t="s">
        <v>250</v>
      </c>
      <c r="C38" s="8">
        <v>554854.5</v>
      </c>
      <c r="D38" s="8">
        <v>554.85450000000003</v>
      </c>
      <c r="E38" s="9">
        <v>2.7441791125998463</v>
      </c>
    </row>
    <row r="39" spans="1:5" x14ac:dyDescent="0.25">
      <c r="A39" s="6" t="s">
        <v>136</v>
      </c>
      <c r="C39" s="8">
        <v>169901.0625</v>
      </c>
      <c r="D39" s="8">
        <v>169.90106250000008</v>
      </c>
      <c r="E39" s="9">
        <v>2.1956293604114183</v>
      </c>
    </row>
    <row r="40" spans="1:5" x14ac:dyDescent="0.25">
      <c r="B40" s="6" t="s">
        <v>247</v>
      </c>
      <c r="C40" s="8">
        <v>114043.625</v>
      </c>
      <c r="D40" s="8">
        <v>114.04362499999999</v>
      </c>
      <c r="E40" s="9">
        <v>2.0570710133728634</v>
      </c>
    </row>
    <row r="41" spans="1:5" x14ac:dyDescent="0.25">
      <c r="B41" s="6" t="s">
        <v>248</v>
      </c>
      <c r="C41" s="8">
        <v>97804.5</v>
      </c>
      <c r="D41" s="8">
        <v>97.80449999999999</v>
      </c>
      <c r="E41" s="9">
        <v>1.9903588371971461</v>
      </c>
    </row>
    <row r="42" spans="1:5" x14ac:dyDescent="0.25">
      <c r="B42" s="6" t="s">
        <v>249</v>
      </c>
      <c r="C42" s="8">
        <v>214826.625</v>
      </c>
      <c r="D42" s="8">
        <v>214.82662500000001</v>
      </c>
      <c r="E42" s="9">
        <v>2.332088105583225</v>
      </c>
    </row>
    <row r="43" spans="1:5" x14ac:dyDescent="0.25">
      <c r="B43" s="6" t="s">
        <v>250</v>
      </c>
      <c r="C43" s="8">
        <v>252929.5</v>
      </c>
      <c r="D43" s="8">
        <v>252.92950000000005</v>
      </c>
      <c r="E43" s="9">
        <v>2.4029994854924386</v>
      </c>
    </row>
    <row r="44" spans="1:5" x14ac:dyDescent="0.25">
      <c r="A44" s="6" t="s">
        <v>146</v>
      </c>
      <c r="C44" s="8">
        <v>169474.9375</v>
      </c>
      <c r="D44" s="8">
        <v>169.47493749999992</v>
      </c>
      <c r="E44" s="9">
        <v>2.1943503545275282</v>
      </c>
    </row>
    <row r="45" spans="1:5" x14ac:dyDescent="0.25">
      <c r="B45" s="6" t="s">
        <v>247</v>
      </c>
      <c r="C45" s="8">
        <v>113617.5</v>
      </c>
      <c r="D45" s="8">
        <v>113.61749999999998</v>
      </c>
      <c r="E45" s="9">
        <v>2.0554452289772587</v>
      </c>
    </row>
    <row r="46" spans="1:5" x14ac:dyDescent="0.25">
      <c r="B46" s="6" t="s">
        <v>248</v>
      </c>
      <c r="C46" s="8">
        <v>97378.625</v>
      </c>
      <c r="D46" s="8">
        <v>97.378625000000014</v>
      </c>
      <c r="E46" s="9">
        <v>1.9884636379481051</v>
      </c>
    </row>
    <row r="47" spans="1:5" x14ac:dyDescent="0.25">
      <c r="A47" s="6" t="s">
        <v>249</v>
      </c>
      <c r="B47" s="6" t="s">
        <v>249</v>
      </c>
      <c r="C47" s="8">
        <v>214400.5</v>
      </c>
      <c r="D47" s="8">
        <v>214.40050000000005</v>
      </c>
      <c r="E47" s="9">
        <v>2.3312257938319947</v>
      </c>
    </row>
    <row r="48" spans="1:5" x14ac:dyDescent="0.25">
      <c r="A48" s="6" t="s">
        <v>250</v>
      </c>
      <c r="B48" s="6" t="s">
        <v>250</v>
      </c>
      <c r="C48" s="8">
        <v>252503.125</v>
      </c>
      <c r="D48" s="8">
        <v>252.50312499999995</v>
      </c>
      <c r="E48" s="9">
        <v>2.4022667573527534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D88EB-B0ED-3144-A2DB-0F761A490DFD}">
  <dimension ref="A2:I46"/>
  <sheetViews>
    <sheetView zoomScale="140" zoomScaleNormal="140" workbookViewId="0">
      <selection activeCell="C4" sqref="C4:E23"/>
    </sheetView>
  </sheetViews>
  <sheetFormatPr baseColWidth="10" defaultRowHeight="16" x14ac:dyDescent="0.2"/>
  <cols>
    <col min="1" max="1" width="13.6640625" customWidth="1"/>
    <col min="2" max="2" width="18.5" bestFit="1" customWidth="1"/>
    <col min="3" max="3" width="24" customWidth="1"/>
    <col min="4" max="4" width="28.6640625" customWidth="1"/>
    <col min="5" max="5" width="20.6640625" bestFit="1" customWidth="1"/>
    <col min="6" max="7" width="20.6640625" customWidth="1"/>
    <col min="9" max="9" width="71.1640625" customWidth="1"/>
  </cols>
  <sheetData>
    <row r="2" spans="1:9" ht="18" x14ac:dyDescent="0.25">
      <c r="A2" s="6" t="s">
        <v>246</v>
      </c>
      <c r="B2" s="6"/>
      <c r="C2" s="6"/>
      <c r="D2" s="6"/>
      <c r="E2" s="6"/>
      <c r="F2" s="6"/>
      <c r="G2" s="6"/>
      <c r="I2" s="6" t="s">
        <v>246</v>
      </c>
    </row>
    <row r="3" spans="1:9" ht="18" x14ac:dyDescent="0.25">
      <c r="A3" s="6" t="s">
        <v>251</v>
      </c>
      <c r="B3" s="6" t="s">
        <v>252</v>
      </c>
      <c r="C3" s="7" t="s">
        <v>243</v>
      </c>
      <c r="D3" s="7" t="s">
        <v>244</v>
      </c>
      <c r="E3" s="7" t="s">
        <v>245</v>
      </c>
      <c r="F3" s="7"/>
      <c r="G3" s="7"/>
      <c r="I3" t="str">
        <f>_xlfn.CONCAT(A3,"&amp;",B3,"&amp;",D3,"&amp;",E3)</f>
        <v>Algorithm&amp;Attention&amp;Avg. size KB&amp;Log_10 (Avg. size kB)</v>
      </c>
    </row>
    <row r="4" spans="1:9" ht="18" x14ac:dyDescent="0.25">
      <c r="A4" s="6" t="s">
        <v>134</v>
      </c>
      <c r="B4" s="6"/>
      <c r="C4" s="7" t="s">
        <v>253</v>
      </c>
      <c r="D4" s="7" t="s">
        <v>254</v>
      </c>
      <c r="E4" s="10" t="s">
        <v>255</v>
      </c>
      <c r="F4" s="9" t="str">
        <f t="shared" ref="F4:F23" si="0">TEXT(C4,"00.00")</f>
        <v>292542.95</v>
      </c>
      <c r="G4" s="9" t="str">
        <f t="shared" ref="G4" si="1">TEXT(D4,"00.00")</f>
        <v>292.54</v>
      </c>
      <c r="H4" s="9" t="str">
        <f>TEXT(E4,"0.000")</f>
        <v>2.441</v>
      </c>
      <c r="I4" t="str">
        <f t="shared" ref="I4:I23" si="2">_xlfn.CONCAT(A4,"&amp;",B4,"&amp;",D4,"&amp;",E4)</f>
        <v>A2C&amp;&amp;292.54&amp;2.441</v>
      </c>
    </row>
    <row r="5" spans="1:9" ht="18" x14ac:dyDescent="0.25">
      <c r="A5" s="6"/>
      <c r="B5" s="6" t="s">
        <v>247</v>
      </c>
      <c r="C5" s="7" t="s">
        <v>256</v>
      </c>
      <c r="D5" s="7" t="s">
        <v>257</v>
      </c>
      <c r="E5" s="10" t="s">
        <v>258</v>
      </c>
      <c r="F5" s="9" t="str">
        <f t="shared" si="0"/>
        <v>212791.80</v>
      </c>
      <c r="G5" s="9" t="str">
        <f t="shared" ref="G5:G23" si="3">TEXT(D5,"00.00")</f>
        <v>212.79</v>
      </c>
      <c r="H5" s="9" t="str">
        <f t="shared" ref="H5:H23" si="4">TEXT(E5,"0.000")</f>
        <v>2.328</v>
      </c>
      <c r="I5" t="str">
        <f t="shared" si="2"/>
        <v>&amp;Multi-Head&amp;212.79&amp;2.328</v>
      </c>
    </row>
    <row r="6" spans="1:9" ht="18" x14ac:dyDescent="0.25">
      <c r="A6" s="6"/>
      <c r="B6" s="6" t="s">
        <v>248</v>
      </c>
      <c r="C6" s="7" t="s">
        <v>259</v>
      </c>
      <c r="D6" s="7" t="s">
        <v>260</v>
      </c>
      <c r="E6" s="10" t="s">
        <v>261</v>
      </c>
      <c r="F6" s="9" t="str">
        <f t="shared" si="0"/>
        <v>182297.00</v>
      </c>
      <c r="G6" s="9" t="str">
        <f t="shared" si="3"/>
        <v>182.30</v>
      </c>
      <c r="H6" s="9" t="str">
        <f t="shared" si="4"/>
        <v>2.261</v>
      </c>
      <c r="I6" t="str">
        <f t="shared" si="2"/>
        <v>&amp;Nadaraya-Watson&amp;182.30&amp;2.261</v>
      </c>
    </row>
    <row r="7" spans="1:9" ht="18" x14ac:dyDescent="0.25">
      <c r="A7" s="6"/>
      <c r="B7" s="6" t="s">
        <v>249</v>
      </c>
      <c r="C7" s="7" t="s">
        <v>262</v>
      </c>
      <c r="D7" s="7" t="s">
        <v>263</v>
      </c>
      <c r="E7" s="10" t="s">
        <v>264</v>
      </c>
      <c r="F7" s="9" t="str">
        <f t="shared" si="0"/>
        <v>414772.60</v>
      </c>
      <c r="G7" s="9" t="str">
        <f t="shared" si="3"/>
        <v>414.77</v>
      </c>
      <c r="H7" s="9" t="str">
        <f t="shared" si="4"/>
        <v>2.618</v>
      </c>
      <c r="I7" t="str">
        <f t="shared" si="2"/>
        <v>&amp;Self-Attention&amp;414.77&amp;2.618</v>
      </c>
    </row>
    <row r="8" spans="1:9" ht="18" x14ac:dyDescent="0.25">
      <c r="A8" s="6"/>
      <c r="B8" s="6" t="s">
        <v>250</v>
      </c>
      <c r="C8" s="7" t="s">
        <v>265</v>
      </c>
      <c r="D8" s="7" t="s">
        <v>266</v>
      </c>
      <c r="E8" s="10" t="s">
        <v>267</v>
      </c>
      <c r="F8" s="9" t="str">
        <f t="shared" si="0"/>
        <v>360310.40</v>
      </c>
      <c r="G8" s="9" t="str">
        <f t="shared" si="3"/>
        <v>360.31</v>
      </c>
      <c r="H8" s="9" t="str">
        <f t="shared" si="4"/>
        <v>2.557</v>
      </c>
      <c r="I8" t="str">
        <f t="shared" si="2"/>
        <v>&amp;Temporal&amp;360.31&amp;2.557</v>
      </c>
    </row>
    <row r="9" spans="1:9" ht="18" x14ac:dyDescent="0.25">
      <c r="A9" s="6" t="s">
        <v>135</v>
      </c>
      <c r="B9" s="6"/>
      <c r="C9" s="7" t="s">
        <v>268</v>
      </c>
      <c r="D9" s="7" t="s">
        <v>269</v>
      </c>
      <c r="E9" s="10" t="s">
        <v>270</v>
      </c>
      <c r="F9" s="9" t="str">
        <f t="shared" si="0"/>
        <v>417715.05</v>
      </c>
      <c r="G9" s="9" t="str">
        <f t="shared" si="3"/>
        <v>417.72</v>
      </c>
      <c r="H9" s="9" t="str">
        <f t="shared" si="4"/>
        <v>2.570</v>
      </c>
      <c r="I9" t="str">
        <f t="shared" si="2"/>
        <v>DQN&amp;&amp;417.72&amp;2.570</v>
      </c>
    </row>
    <row r="10" spans="1:9" ht="18" x14ac:dyDescent="0.25">
      <c r="A10" s="6"/>
      <c r="B10" s="6" t="s">
        <v>247</v>
      </c>
      <c r="C10" s="7" t="s">
        <v>271</v>
      </c>
      <c r="D10" s="7" t="s">
        <v>272</v>
      </c>
      <c r="E10" s="10" t="s">
        <v>273</v>
      </c>
      <c r="F10" s="9" t="str">
        <f t="shared" si="0"/>
        <v>259844.40</v>
      </c>
      <c r="G10" s="9" t="str">
        <f t="shared" si="3"/>
        <v>259.84</v>
      </c>
      <c r="H10" s="9" t="str">
        <f t="shared" si="4"/>
        <v>2.415</v>
      </c>
      <c r="I10" t="str">
        <f t="shared" si="2"/>
        <v>&amp;Multi-Head&amp;259.84&amp;2.415</v>
      </c>
    </row>
    <row r="11" spans="1:9" ht="18" x14ac:dyDescent="0.25">
      <c r="A11" s="6"/>
      <c r="B11" s="6" t="s">
        <v>248</v>
      </c>
      <c r="C11" s="7" t="s">
        <v>274</v>
      </c>
      <c r="D11" s="7" t="s">
        <v>275</v>
      </c>
      <c r="E11" s="10" t="s">
        <v>276</v>
      </c>
      <c r="F11" s="9" t="str">
        <f t="shared" si="0"/>
        <v>201531.80</v>
      </c>
      <c r="G11" s="9" t="str">
        <f t="shared" si="3"/>
        <v>201.53</v>
      </c>
      <c r="H11" s="9" t="str">
        <f t="shared" si="4"/>
        <v>2.304</v>
      </c>
      <c r="I11" t="str">
        <f t="shared" si="2"/>
        <v>&amp;Nadaraya-Watson&amp;201.53&amp;2.304</v>
      </c>
    </row>
    <row r="12" spans="1:9" ht="18" x14ac:dyDescent="0.25">
      <c r="A12" s="6"/>
      <c r="B12" s="6" t="s">
        <v>249</v>
      </c>
      <c r="C12" s="7" t="s">
        <v>277</v>
      </c>
      <c r="D12" s="7" t="s">
        <v>278</v>
      </c>
      <c r="E12" s="10" t="s">
        <v>279</v>
      </c>
      <c r="F12" s="9" t="str">
        <f t="shared" si="0"/>
        <v>657745.60</v>
      </c>
      <c r="G12" s="9" t="str">
        <f t="shared" si="3"/>
        <v>657.75</v>
      </c>
      <c r="H12" s="9" t="str">
        <f t="shared" si="4"/>
        <v>2.818</v>
      </c>
      <c r="I12" t="str">
        <f t="shared" si="2"/>
        <v>&amp;Self-Attention&amp;657.75&amp;2.818</v>
      </c>
    </row>
    <row r="13" spans="1:9" ht="18" x14ac:dyDescent="0.25">
      <c r="A13" s="6"/>
      <c r="B13" s="6" t="s">
        <v>250</v>
      </c>
      <c r="C13" s="7" t="s">
        <v>280</v>
      </c>
      <c r="D13" s="7" t="s">
        <v>281</v>
      </c>
      <c r="E13" s="10" t="s">
        <v>282</v>
      </c>
      <c r="F13" s="9" t="str">
        <f t="shared" si="0"/>
        <v>551738.40</v>
      </c>
      <c r="G13" s="9" t="str">
        <f t="shared" si="3"/>
        <v>551.74</v>
      </c>
      <c r="H13" s="9" t="str">
        <f t="shared" si="4"/>
        <v>2.742</v>
      </c>
      <c r="I13" t="str">
        <f t="shared" si="2"/>
        <v>&amp;Temporal&amp;551.74&amp;2.742</v>
      </c>
    </row>
    <row r="14" spans="1:9" ht="18" x14ac:dyDescent="0.25">
      <c r="A14" s="6" t="s">
        <v>136</v>
      </c>
      <c r="B14" s="6"/>
      <c r="C14" s="7" t="s">
        <v>283</v>
      </c>
      <c r="D14" s="7" t="s">
        <v>284</v>
      </c>
      <c r="E14" s="10" t="s">
        <v>285</v>
      </c>
      <c r="F14" s="9" t="str">
        <f t="shared" si="0"/>
        <v>169379.95</v>
      </c>
      <c r="G14" s="9" t="str">
        <f t="shared" si="3"/>
        <v>169.38</v>
      </c>
      <c r="H14" s="9" t="str">
        <f t="shared" si="4"/>
        <v>2.194</v>
      </c>
      <c r="I14" t="str">
        <f t="shared" si="2"/>
        <v>PPO&amp;&amp;169.38&amp;2.194</v>
      </c>
    </row>
    <row r="15" spans="1:9" ht="18" x14ac:dyDescent="0.25">
      <c r="A15" s="6"/>
      <c r="B15" s="6" t="s">
        <v>247</v>
      </c>
      <c r="C15" s="7" t="s">
        <v>286</v>
      </c>
      <c r="D15" s="7" t="s">
        <v>287</v>
      </c>
      <c r="E15" s="10" t="s">
        <v>288</v>
      </c>
      <c r="F15" s="9" t="str">
        <f t="shared" si="0"/>
        <v>113234.20</v>
      </c>
      <c r="G15" s="9" t="str">
        <f t="shared" si="3"/>
        <v>113.23</v>
      </c>
      <c r="H15" s="9" t="str">
        <f t="shared" si="4"/>
        <v>2.054</v>
      </c>
      <c r="I15" t="str">
        <f t="shared" si="2"/>
        <v>&amp;Multi-Head&amp;113.23&amp;2.054</v>
      </c>
    </row>
    <row r="16" spans="1:9" ht="18" x14ac:dyDescent="0.25">
      <c r="A16" s="6"/>
      <c r="B16" s="6" t="s">
        <v>248</v>
      </c>
      <c r="C16" s="7" t="s">
        <v>289</v>
      </c>
      <c r="D16" s="7" t="s">
        <v>290</v>
      </c>
      <c r="E16" s="10" t="s">
        <v>291</v>
      </c>
      <c r="F16" s="9" t="str">
        <f t="shared" si="0"/>
        <v>97635.60</v>
      </c>
      <c r="G16" s="9" t="str">
        <f t="shared" si="3"/>
        <v>97.64</v>
      </c>
      <c r="H16" s="9" t="str">
        <f t="shared" si="4"/>
        <v>1.990</v>
      </c>
      <c r="I16" t="str">
        <f t="shared" si="2"/>
        <v>&amp;Nadaraya-Watson&amp;97.64&amp;1.990</v>
      </c>
    </row>
    <row r="17" spans="1:9" ht="18" x14ac:dyDescent="0.25">
      <c r="A17" s="6"/>
      <c r="B17" s="6" t="s">
        <v>249</v>
      </c>
      <c r="C17" s="7" t="s">
        <v>292</v>
      </c>
      <c r="D17" s="7" t="s">
        <v>293</v>
      </c>
      <c r="E17" s="10" t="s">
        <v>294</v>
      </c>
      <c r="F17" s="9" t="str">
        <f t="shared" si="0"/>
        <v>214529.60</v>
      </c>
      <c r="G17" s="9" t="str">
        <f t="shared" si="3"/>
        <v>214.53</v>
      </c>
      <c r="H17" s="9" t="str">
        <f t="shared" si="4"/>
        <v>2.331</v>
      </c>
      <c r="I17" t="str">
        <f t="shared" si="2"/>
        <v>&amp;Self-Attention&amp;214.53&amp;2.331</v>
      </c>
    </row>
    <row r="18" spans="1:9" ht="18" x14ac:dyDescent="0.25">
      <c r="A18" s="6"/>
      <c r="B18" s="6" t="s">
        <v>250</v>
      </c>
      <c r="C18" s="7" t="s">
        <v>295</v>
      </c>
      <c r="D18" s="7" t="s">
        <v>296</v>
      </c>
      <c r="E18" s="10" t="s">
        <v>297</v>
      </c>
      <c r="F18" s="9" t="str">
        <f t="shared" si="0"/>
        <v>252120.40</v>
      </c>
      <c r="G18" s="9" t="str">
        <f t="shared" si="3"/>
        <v>252.12</v>
      </c>
      <c r="H18" s="9" t="str">
        <f t="shared" si="4"/>
        <v>2.402</v>
      </c>
      <c r="I18" t="str">
        <f t="shared" si="2"/>
        <v>&amp;Temporal&amp;252.12&amp;2.402</v>
      </c>
    </row>
    <row r="19" spans="1:9" ht="18" x14ac:dyDescent="0.25">
      <c r="A19" s="6" t="s">
        <v>146</v>
      </c>
      <c r="B19" s="6"/>
      <c r="C19" s="7" t="s">
        <v>298</v>
      </c>
      <c r="D19" s="7" t="s">
        <v>299</v>
      </c>
      <c r="E19" s="10" t="s">
        <v>300</v>
      </c>
      <c r="F19" s="9" t="str">
        <f t="shared" si="0"/>
        <v>168953.60</v>
      </c>
      <c r="G19" s="9" t="str">
        <f t="shared" si="3"/>
        <v>168.95</v>
      </c>
      <c r="H19" s="9" t="str">
        <f t="shared" si="4"/>
        <v>2.193</v>
      </c>
      <c r="I19" t="str">
        <f t="shared" si="2"/>
        <v>REINFORCE&amp;&amp;168.95&amp;2.193</v>
      </c>
    </row>
    <row r="20" spans="1:9" ht="18" x14ac:dyDescent="0.25">
      <c r="A20" s="6"/>
      <c r="B20" s="6" t="s">
        <v>247</v>
      </c>
      <c r="C20" s="7" t="s">
        <v>301</v>
      </c>
      <c r="D20" s="7" t="s">
        <v>302</v>
      </c>
      <c r="E20" s="10" t="s">
        <v>303</v>
      </c>
      <c r="F20" s="9" t="str">
        <f t="shared" si="0"/>
        <v>112808.00</v>
      </c>
      <c r="G20" s="9" t="str">
        <f t="shared" si="3"/>
        <v>112.81</v>
      </c>
      <c r="H20" s="9" t="str">
        <f t="shared" si="4"/>
        <v>2.052</v>
      </c>
      <c r="I20" t="str">
        <f t="shared" si="2"/>
        <v>&amp;Multi-Head&amp;112.81&amp;2.052</v>
      </c>
    </row>
    <row r="21" spans="1:9" ht="18" x14ac:dyDescent="0.25">
      <c r="A21" s="6"/>
      <c r="B21" s="6" t="s">
        <v>248</v>
      </c>
      <c r="C21" s="7" t="s">
        <v>304</v>
      </c>
      <c r="D21" s="7" t="s">
        <v>305</v>
      </c>
      <c r="E21" s="10" t="s">
        <v>306</v>
      </c>
      <c r="F21" s="9" t="str">
        <f t="shared" si="0"/>
        <v>97209.00</v>
      </c>
      <c r="G21" s="9" t="str">
        <f t="shared" si="3"/>
        <v>97.21</v>
      </c>
      <c r="H21" s="9" t="str">
        <f t="shared" si="4"/>
        <v>1.988</v>
      </c>
      <c r="I21" t="str">
        <f t="shared" si="2"/>
        <v>&amp;Nadaraya-Watson&amp;97.21&amp;1.988</v>
      </c>
    </row>
    <row r="22" spans="1:9" ht="18" x14ac:dyDescent="0.25">
      <c r="A22" s="6"/>
      <c r="B22" s="6" t="s">
        <v>249</v>
      </c>
      <c r="C22" s="7" t="s">
        <v>307</v>
      </c>
      <c r="D22" s="7" t="s">
        <v>308</v>
      </c>
      <c r="E22" s="10" t="s">
        <v>294</v>
      </c>
      <c r="F22" s="9" t="str">
        <f t="shared" si="0"/>
        <v>214103.20</v>
      </c>
      <c r="G22" s="9" t="str">
        <f t="shared" si="3"/>
        <v>214.10</v>
      </c>
      <c r="H22" s="9" t="str">
        <f t="shared" si="4"/>
        <v>2.331</v>
      </c>
      <c r="I22" t="str">
        <f t="shared" si="2"/>
        <v>&amp;Self-Attention&amp;214.10&amp;2.331</v>
      </c>
    </row>
    <row r="23" spans="1:9" ht="18" x14ac:dyDescent="0.25">
      <c r="A23" s="6"/>
      <c r="B23" s="6" t="s">
        <v>250</v>
      </c>
      <c r="C23" s="7" t="s">
        <v>309</v>
      </c>
      <c r="D23" s="7" t="s">
        <v>310</v>
      </c>
      <c r="E23" s="10" t="s">
        <v>311</v>
      </c>
      <c r="F23" s="9" t="str">
        <f t="shared" si="0"/>
        <v>251694.20</v>
      </c>
      <c r="G23" s="9" t="str">
        <f t="shared" si="3"/>
        <v>251.69</v>
      </c>
      <c r="H23" s="9" t="str">
        <f t="shared" si="4"/>
        <v>2.401</v>
      </c>
      <c r="I23" t="str">
        <f t="shared" si="2"/>
        <v>&amp;Temporal&amp;251.69&amp;2.401</v>
      </c>
    </row>
    <row r="25" spans="1:9" ht="18" x14ac:dyDescent="0.25">
      <c r="A25" s="6" t="s">
        <v>312</v>
      </c>
      <c r="I25" s="6" t="s">
        <v>312</v>
      </c>
    </row>
    <row r="26" spans="1:9" ht="18" x14ac:dyDescent="0.25">
      <c r="A26" s="6" t="s">
        <v>251</v>
      </c>
      <c r="B26" s="6" t="s">
        <v>252</v>
      </c>
      <c r="C26" s="7" t="s">
        <v>243</v>
      </c>
      <c r="D26" s="7" t="s">
        <v>244</v>
      </c>
      <c r="E26" s="7" t="s">
        <v>245</v>
      </c>
      <c r="I26" t="str">
        <f>_xlfn.CONCAT(A26,"&amp;",B26,"&amp;",D26,"&amp;",E26)</f>
        <v>Algorithm&amp;Attention&amp;Avg. size KB&amp;Log_10 (Avg. size kB)</v>
      </c>
    </row>
    <row r="27" spans="1:9" ht="18" x14ac:dyDescent="0.25">
      <c r="A27" s="6" t="s">
        <v>134</v>
      </c>
      <c r="B27" s="6"/>
      <c r="C27" s="8" t="s">
        <v>313</v>
      </c>
      <c r="D27" s="8" t="s">
        <v>314</v>
      </c>
      <c r="E27" s="9" t="s">
        <v>315</v>
      </c>
      <c r="F27" s="9" t="str">
        <f t="shared" ref="F27:F46" si="5">TEXT(C27,"00.00")</f>
        <v>293545.69</v>
      </c>
      <c r="G27" s="9" t="str">
        <f t="shared" ref="G27" si="6">TEXT(D27,"00.00")</f>
        <v>293.55</v>
      </c>
      <c r="H27" s="9" t="str">
        <f>TEXT(E27,"0.000")</f>
        <v>2.442</v>
      </c>
      <c r="I27" t="str">
        <f t="shared" ref="I27:I46" si="7">_xlfn.CONCAT(A27,"&amp;",B27,"&amp;",D27,"&amp;",E27)</f>
        <v>A2C&amp;&amp;293.55&amp;2.442</v>
      </c>
    </row>
    <row r="28" spans="1:9" ht="18" x14ac:dyDescent="0.25">
      <c r="A28" s="6"/>
      <c r="B28" s="6" t="s">
        <v>247</v>
      </c>
      <c r="C28" s="8" t="s">
        <v>316</v>
      </c>
      <c r="D28" s="8" t="s">
        <v>317</v>
      </c>
      <c r="E28" s="9" t="s">
        <v>294</v>
      </c>
      <c r="F28" s="9" t="str">
        <f t="shared" si="5"/>
        <v>214373.00</v>
      </c>
      <c r="G28" s="9" t="str">
        <f t="shared" ref="G28:G46" si="8">TEXT(D28,"00.00")</f>
        <v>214.37</v>
      </c>
      <c r="H28" s="9" t="str">
        <f t="shared" ref="H28:H46" si="9">TEXT(E28,"0.000")</f>
        <v>2.331</v>
      </c>
      <c r="I28" t="str">
        <f t="shared" si="7"/>
        <v>&amp;Multi-Head&amp;214.37&amp;2.331</v>
      </c>
    </row>
    <row r="29" spans="1:9" ht="18" x14ac:dyDescent="0.25">
      <c r="A29" s="6"/>
      <c r="B29" s="6" t="s">
        <v>248</v>
      </c>
      <c r="C29" s="8" t="s">
        <v>318</v>
      </c>
      <c r="D29" s="8" t="s">
        <v>319</v>
      </c>
      <c r="E29" s="9" t="s">
        <v>261</v>
      </c>
      <c r="F29" s="9" t="str">
        <f t="shared" si="5"/>
        <v>182594.88</v>
      </c>
      <c r="G29" s="9" t="str">
        <f t="shared" si="8"/>
        <v>182.59</v>
      </c>
      <c r="H29" s="9" t="str">
        <f t="shared" si="9"/>
        <v>2.261</v>
      </c>
      <c r="I29" t="str">
        <f t="shared" si="7"/>
        <v>&amp;Nadaraya-Watson&amp;182.59&amp;2.261</v>
      </c>
    </row>
    <row r="30" spans="1:9" ht="18" x14ac:dyDescent="0.25">
      <c r="A30" s="6"/>
      <c r="B30" s="6" t="s">
        <v>249</v>
      </c>
      <c r="C30" s="8" t="s">
        <v>320</v>
      </c>
      <c r="D30" s="8" t="s">
        <v>321</v>
      </c>
      <c r="E30" s="9" t="s">
        <v>264</v>
      </c>
      <c r="F30" s="9" t="str">
        <f t="shared" si="5"/>
        <v>415327.63</v>
      </c>
      <c r="G30" s="9" t="str">
        <f t="shared" si="8"/>
        <v>415.33</v>
      </c>
      <c r="H30" s="9" t="str">
        <f t="shared" si="9"/>
        <v>2.618</v>
      </c>
      <c r="I30" t="str">
        <f t="shared" si="7"/>
        <v>&amp;Self-Attention&amp;415.33&amp;2.618</v>
      </c>
    </row>
    <row r="31" spans="1:9" ht="18" x14ac:dyDescent="0.25">
      <c r="A31" s="6"/>
      <c r="B31" s="6" t="s">
        <v>250</v>
      </c>
      <c r="C31" s="8" t="s">
        <v>322</v>
      </c>
      <c r="D31" s="8" t="s">
        <v>323</v>
      </c>
      <c r="E31" s="9" t="s">
        <v>324</v>
      </c>
      <c r="F31" s="9" t="str">
        <f t="shared" si="5"/>
        <v>361887.25</v>
      </c>
      <c r="G31" s="9" t="str">
        <f t="shared" si="8"/>
        <v>361.89</v>
      </c>
      <c r="H31" s="9" t="str">
        <f t="shared" si="9"/>
        <v>2.559</v>
      </c>
      <c r="I31" t="str">
        <f t="shared" si="7"/>
        <v>&amp;Temporal&amp;361.89&amp;2.559</v>
      </c>
    </row>
    <row r="32" spans="1:9" ht="18" x14ac:dyDescent="0.25">
      <c r="A32" s="6" t="s">
        <v>135</v>
      </c>
      <c r="B32" s="6"/>
      <c r="C32" s="8" t="s">
        <v>325</v>
      </c>
      <c r="D32" s="8" t="s">
        <v>326</v>
      </c>
      <c r="E32" s="9" t="s">
        <v>327</v>
      </c>
      <c r="F32" s="9" t="str">
        <f t="shared" si="5"/>
        <v>419729.06</v>
      </c>
      <c r="G32" s="9" t="str">
        <f t="shared" si="8"/>
        <v>419.73</v>
      </c>
      <c r="H32" s="9" t="str">
        <f t="shared" si="9"/>
        <v>2.572</v>
      </c>
      <c r="I32" t="str">
        <f t="shared" si="7"/>
        <v>DQN&amp;&amp;419.73&amp;2.572</v>
      </c>
    </row>
    <row r="33" spans="1:9" ht="18" x14ac:dyDescent="0.25">
      <c r="A33" s="6"/>
      <c r="B33" s="6" t="s">
        <v>247</v>
      </c>
      <c r="C33" s="8" t="s">
        <v>328</v>
      </c>
      <c r="D33" s="8" t="s">
        <v>329</v>
      </c>
      <c r="E33" s="9" t="s">
        <v>330</v>
      </c>
      <c r="F33" s="9" t="str">
        <f t="shared" si="5"/>
        <v>262963.50</v>
      </c>
      <c r="G33" s="9" t="str">
        <f t="shared" si="8"/>
        <v>262.96</v>
      </c>
      <c r="H33" s="9" t="str">
        <f t="shared" si="9"/>
        <v>2.420</v>
      </c>
      <c r="I33" t="str">
        <f t="shared" si="7"/>
        <v>&amp;Multi-Head&amp;262.96&amp;2.420</v>
      </c>
    </row>
    <row r="34" spans="1:9" ht="18" x14ac:dyDescent="0.25">
      <c r="A34" s="6"/>
      <c r="B34" s="6" t="s">
        <v>248</v>
      </c>
      <c r="C34" s="8" t="s">
        <v>331</v>
      </c>
      <c r="D34" s="8" t="s">
        <v>332</v>
      </c>
      <c r="E34" s="9" t="s">
        <v>333</v>
      </c>
      <c r="F34" s="9" t="str">
        <f t="shared" si="5"/>
        <v>202280.13</v>
      </c>
      <c r="G34" s="9" t="str">
        <f t="shared" si="8"/>
        <v>202.28</v>
      </c>
      <c r="H34" s="9" t="str">
        <f t="shared" si="9"/>
        <v>2.306</v>
      </c>
      <c r="I34" t="str">
        <f t="shared" si="7"/>
        <v>&amp;Nadaraya-Watson&amp;202.28&amp;2.306</v>
      </c>
    </row>
    <row r="35" spans="1:9" ht="18" x14ac:dyDescent="0.25">
      <c r="A35" s="6"/>
      <c r="B35" s="6" t="s">
        <v>249</v>
      </c>
      <c r="C35" s="8" t="s">
        <v>334</v>
      </c>
      <c r="D35" s="8" t="s">
        <v>335</v>
      </c>
      <c r="E35" s="9" t="s">
        <v>336</v>
      </c>
      <c r="F35" s="9" t="str">
        <f t="shared" si="5"/>
        <v>658818.13</v>
      </c>
      <c r="G35" s="9" t="str">
        <f t="shared" si="8"/>
        <v>658.82</v>
      </c>
      <c r="H35" s="9" t="str">
        <f t="shared" si="9"/>
        <v>2.819</v>
      </c>
      <c r="I35" t="str">
        <f t="shared" si="7"/>
        <v>&amp;Self-Attention&amp;658.82&amp;2.819</v>
      </c>
    </row>
    <row r="36" spans="1:9" ht="18" x14ac:dyDescent="0.25">
      <c r="A36" s="6"/>
      <c r="B36" s="6" t="s">
        <v>250</v>
      </c>
      <c r="C36" s="8" t="s">
        <v>337</v>
      </c>
      <c r="D36" s="8" t="s">
        <v>338</v>
      </c>
      <c r="E36" s="9" t="s">
        <v>339</v>
      </c>
      <c r="F36" s="9" t="str">
        <f t="shared" si="5"/>
        <v>554854.50</v>
      </c>
      <c r="G36" s="9" t="str">
        <f t="shared" si="8"/>
        <v>554.85</v>
      </c>
      <c r="H36" s="9" t="str">
        <f t="shared" si="9"/>
        <v>2.744</v>
      </c>
      <c r="I36" t="str">
        <f t="shared" si="7"/>
        <v>&amp;Temporal&amp;554.85&amp;2.744</v>
      </c>
    </row>
    <row r="37" spans="1:9" ht="18" x14ac:dyDescent="0.25">
      <c r="A37" s="6" t="s">
        <v>136</v>
      </c>
      <c r="B37" s="6"/>
      <c r="C37" s="8" t="s">
        <v>340</v>
      </c>
      <c r="D37" s="8" t="s">
        <v>341</v>
      </c>
      <c r="E37" s="9" t="s">
        <v>342</v>
      </c>
      <c r="F37" s="9" t="str">
        <f t="shared" si="5"/>
        <v>169901.06</v>
      </c>
      <c r="G37" s="9" t="str">
        <f t="shared" si="8"/>
        <v>169.90</v>
      </c>
      <c r="H37" s="9" t="str">
        <f t="shared" si="9"/>
        <v>2.196</v>
      </c>
      <c r="I37" t="str">
        <f t="shared" si="7"/>
        <v>PPO&amp;&amp;169.90&amp;2.196</v>
      </c>
    </row>
    <row r="38" spans="1:9" ht="18" x14ac:dyDescent="0.25">
      <c r="A38" s="6"/>
      <c r="B38" s="6" t="s">
        <v>247</v>
      </c>
      <c r="C38" s="8" t="s">
        <v>343</v>
      </c>
      <c r="D38" s="8" t="s">
        <v>344</v>
      </c>
      <c r="E38" s="9" t="s">
        <v>345</v>
      </c>
      <c r="F38" s="9" t="str">
        <f t="shared" si="5"/>
        <v>114043.63</v>
      </c>
      <c r="G38" s="9" t="str">
        <f t="shared" si="8"/>
        <v>114.04</v>
      </c>
      <c r="H38" s="9" t="str">
        <f t="shared" si="9"/>
        <v>2.057</v>
      </c>
      <c r="I38" t="str">
        <f t="shared" si="7"/>
        <v>&amp;Multi-Head&amp;114.04&amp;2.057</v>
      </c>
    </row>
    <row r="39" spans="1:9" ht="18" x14ac:dyDescent="0.25">
      <c r="A39" s="6"/>
      <c r="B39" s="6" t="s">
        <v>248</v>
      </c>
      <c r="C39" s="8" t="s">
        <v>346</v>
      </c>
      <c r="D39" s="8" t="s">
        <v>347</v>
      </c>
      <c r="E39" s="9" t="s">
        <v>291</v>
      </c>
      <c r="F39" s="9" t="str">
        <f t="shared" si="5"/>
        <v>97804.50</v>
      </c>
      <c r="G39" s="9" t="str">
        <f t="shared" si="8"/>
        <v>97.80</v>
      </c>
      <c r="H39" s="9" t="str">
        <f t="shared" si="9"/>
        <v>1.990</v>
      </c>
      <c r="I39" t="str">
        <f t="shared" si="7"/>
        <v>&amp;Nadaraya-Watson&amp;97.80&amp;1.990</v>
      </c>
    </row>
    <row r="40" spans="1:9" ht="18" x14ac:dyDescent="0.25">
      <c r="A40" s="6"/>
      <c r="B40" s="6" t="s">
        <v>249</v>
      </c>
      <c r="C40" s="8" t="s">
        <v>348</v>
      </c>
      <c r="D40" s="8" t="s">
        <v>349</v>
      </c>
      <c r="E40" s="9" t="s">
        <v>350</v>
      </c>
      <c r="F40" s="9" t="str">
        <f t="shared" si="5"/>
        <v>214826.63</v>
      </c>
      <c r="G40" s="9" t="str">
        <f t="shared" si="8"/>
        <v>214.83</v>
      </c>
      <c r="H40" s="9" t="str">
        <f t="shared" si="9"/>
        <v>2.332</v>
      </c>
      <c r="I40" t="str">
        <f t="shared" si="7"/>
        <v>&amp;Self-Attention&amp;214.83&amp;2.332</v>
      </c>
    </row>
    <row r="41" spans="1:9" ht="18" x14ac:dyDescent="0.25">
      <c r="A41" s="6"/>
      <c r="B41" s="6" t="s">
        <v>250</v>
      </c>
      <c r="C41" s="8" t="s">
        <v>351</v>
      </c>
      <c r="D41" s="8" t="s">
        <v>352</v>
      </c>
      <c r="E41" s="9" t="s">
        <v>353</v>
      </c>
      <c r="F41" s="9" t="str">
        <f t="shared" si="5"/>
        <v>252929.50</v>
      </c>
      <c r="G41" s="9" t="str">
        <f t="shared" si="8"/>
        <v>252.93</v>
      </c>
      <c r="H41" s="9" t="str">
        <f t="shared" si="9"/>
        <v>2.403</v>
      </c>
      <c r="I41" t="str">
        <f t="shared" si="7"/>
        <v>&amp;Temporal&amp;252.93&amp;2.403</v>
      </c>
    </row>
    <row r="42" spans="1:9" ht="18" x14ac:dyDescent="0.25">
      <c r="A42" s="6" t="s">
        <v>146</v>
      </c>
      <c r="B42" s="6"/>
      <c r="C42" s="8" t="s">
        <v>354</v>
      </c>
      <c r="D42" s="8" t="s">
        <v>355</v>
      </c>
      <c r="E42" s="9" t="s">
        <v>285</v>
      </c>
      <c r="F42" s="9" t="str">
        <f t="shared" si="5"/>
        <v>169474.94</v>
      </c>
      <c r="G42" s="9" t="str">
        <f t="shared" si="8"/>
        <v>169.47</v>
      </c>
      <c r="H42" s="9" t="str">
        <f t="shared" si="9"/>
        <v>2.194</v>
      </c>
      <c r="I42" t="str">
        <f t="shared" si="7"/>
        <v>REINFORCE&amp;&amp;169.47&amp;2.194</v>
      </c>
    </row>
    <row r="43" spans="1:9" ht="18" x14ac:dyDescent="0.25">
      <c r="A43" s="6"/>
      <c r="B43" s="6" t="s">
        <v>247</v>
      </c>
      <c r="C43" s="8" t="s">
        <v>356</v>
      </c>
      <c r="D43" s="8" t="s">
        <v>357</v>
      </c>
      <c r="E43" s="9" t="s">
        <v>358</v>
      </c>
      <c r="F43" s="9" t="str">
        <f t="shared" si="5"/>
        <v>113617.50</v>
      </c>
      <c r="G43" s="9" t="str">
        <f t="shared" si="8"/>
        <v>113.62</v>
      </c>
      <c r="H43" s="9" t="str">
        <f t="shared" si="9"/>
        <v>2.055</v>
      </c>
      <c r="I43" t="str">
        <f t="shared" si="7"/>
        <v>&amp;Multi-Head&amp;113.62&amp;2.055</v>
      </c>
    </row>
    <row r="44" spans="1:9" ht="18" x14ac:dyDescent="0.25">
      <c r="A44" s="6"/>
      <c r="B44" s="6" t="s">
        <v>248</v>
      </c>
      <c r="C44" s="8" t="s">
        <v>359</v>
      </c>
      <c r="D44" s="8" t="s">
        <v>360</v>
      </c>
      <c r="E44" s="9" t="s">
        <v>306</v>
      </c>
      <c r="F44" s="9" t="str">
        <f t="shared" si="5"/>
        <v>97378.63</v>
      </c>
      <c r="G44" s="9" t="str">
        <f t="shared" si="8"/>
        <v>97.38</v>
      </c>
      <c r="H44" s="9" t="str">
        <f t="shared" si="9"/>
        <v>1.988</v>
      </c>
      <c r="I44" t="str">
        <f t="shared" si="7"/>
        <v>&amp;Nadaraya-Watson&amp;97.38&amp;1.988</v>
      </c>
    </row>
    <row r="45" spans="1:9" ht="18" x14ac:dyDescent="0.25">
      <c r="A45" s="6" t="s">
        <v>249</v>
      </c>
      <c r="B45" s="6" t="s">
        <v>249</v>
      </c>
      <c r="C45" s="8" t="s">
        <v>361</v>
      </c>
      <c r="D45" s="8" t="s">
        <v>362</v>
      </c>
      <c r="E45" s="9" t="s">
        <v>294</v>
      </c>
      <c r="F45" s="9" t="str">
        <f t="shared" si="5"/>
        <v>214400.50</v>
      </c>
      <c r="G45" s="9" t="str">
        <f t="shared" si="8"/>
        <v>214.40</v>
      </c>
      <c r="H45" s="9" t="str">
        <f t="shared" si="9"/>
        <v>2.331</v>
      </c>
      <c r="I45" t="str">
        <f t="shared" si="7"/>
        <v>Self-Attention&amp;Self-Attention&amp;214.40&amp;2.331</v>
      </c>
    </row>
    <row r="46" spans="1:9" ht="18" x14ac:dyDescent="0.25">
      <c r="A46" s="6" t="s">
        <v>250</v>
      </c>
      <c r="B46" s="6" t="s">
        <v>250</v>
      </c>
      <c r="C46" s="8" t="s">
        <v>363</v>
      </c>
      <c r="D46" s="8" t="s">
        <v>364</v>
      </c>
      <c r="E46" s="9" t="s">
        <v>297</v>
      </c>
      <c r="F46" s="9" t="str">
        <f t="shared" si="5"/>
        <v>252503.13</v>
      </c>
      <c r="G46" s="9" t="str">
        <f t="shared" si="8"/>
        <v>252.50</v>
      </c>
      <c r="H46" s="9" t="str">
        <f t="shared" si="9"/>
        <v>2.402</v>
      </c>
      <c r="I46" t="str">
        <f t="shared" si="7"/>
        <v>Temporal&amp;Temporal&amp;252.50&amp;2.402</v>
      </c>
    </row>
  </sheetData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8CA02-F4A6-B749-8200-4B34E3B85EF3}">
  <dimension ref="A1:D24"/>
  <sheetViews>
    <sheetView workbookViewId="0">
      <selection sqref="A1:B24"/>
    </sheetView>
  </sheetViews>
  <sheetFormatPr baseColWidth="10" defaultRowHeight="16" x14ac:dyDescent="0.2"/>
  <cols>
    <col min="1" max="1" width="13" bestFit="1" customWidth="1"/>
    <col min="2" max="2" width="15" bestFit="1" customWidth="1"/>
    <col min="3" max="3" width="12.5" bestFit="1" customWidth="1"/>
    <col min="4" max="4" width="13.6640625" bestFit="1" customWidth="1"/>
  </cols>
  <sheetData>
    <row r="1" spans="1:4" x14ac:dyDescent="0.2">
      <c r="A1" s="2" t="s">
        <v>151</v>
      </c>
      <c r="B1" t="s">
        <v>140</v>
      </c>
    </row>
    <row r="3" spans="1:4" x14ac:dyDescent="0.2">
      <c r="A3" s="2" t="s">
        <v>133</v>
      </c>
      <c r="B3" t="s">
        <v>242</v>
      </c>
      <c r="C3" t="s">
        <v>239</v>
      </c>
      <c r="D3" t="s">
        <v>238</v>
      </c>
    </row>
    <row r="4" spans="1:4" x14ac:dyDescent="0.2">
      <c r="A4" s="3" t="s">
        <v>134</v>
      </c>
      <c r="B4">
        <v>32</v>
      </c>
      <c r="C4">
        <v>293.54568750000004</v>
      </c>
      <c r="D4">
        <v>293545.6875</v>
      </c>
    </row>
    <row r="5" spans="1:4" x14ac:dyDescent="0.2">
      <c r="A5" s="5" t="s">
        <v>139</v>
      </c>
      <c r="B5">
        <v>8</v>
      </c>
      <c r="C5">
        <v>214.37300000000005</v>
      </c>
      <c r="D5">
        <v>214373</v>
      </c>
    </row>
    <row r="6" spans="1:4" x14ac:dyDescent="0.2">
      <c r="A6" s="5" t="s">
        <v>143</v>
      </c>
      <c r="B6">
        <v>8</v>
      </c>
      <c r="C6">
        <v>182.594875</v>
      </c>
      <c r="D6">
        <v>182594.875</v>
      </c>
    </row>
    <row r="7" spans="1:4" x14ac:dyDescent="0.2">
      <c r="A7" s="5" t="s">
        <v>144</v>
      </c>
      <c r="B7">
        <v>8</v>
      </c>
      <c r="C7">
        <v>415.32762500000001</v>
      </c>
      <c r="D7">
        <v>415327.625</v>
      </c>
    </row>
    <row r="8" spans="1:4" x14ac:dyDescent="0.2">
      <c r="A8" s="5" t="s">
        <v>145</v>
      </c>
      <c r="B8">
        <v>8</v>
      </c>
      <c r="C8">
        <v>361.88724999999999</v>
      </c>
      <c r="D8">
        <v>361887.25</v>
      </c>
    </row>
    <row r="9" spans="1:4" x14ac:dyDescent="0.2">
      <c r="A9" s="3" t="s">
        <v>135</v>
      </c>
      <c r="B9">
        <v>32</v>
      </c>
      <c r="C9">
        <v>419.72906249999994</v>
      </c>
      <c r="D9">
        <v>419729.0625</v>
      </c>
    </row>
    <row r="10" spans="1:4" x14ac:dyDescent="0.2">
      <c r="A10" s="5" t="s">
        <v>139</v>
      </c>
      <c r="B10">
        <v>8</v>
      </c>
      <c r="C10">
        <v>262.96349999999995</v>
      </c>
      <c r="D10">
        <v>262963.5</v>
      </c>
    </row>
    <row r="11" spans="1:4" x14ac:dyDescent="0.2">
      <c r="A11" s="5" t="s">
        <v>143</v>
      </c>
      <c r="B11">
        <v>8</v>
      </c>
      <c r="C11">
        <v>202.280125</v>
      </c>
      <c r="D11">
        <v>202280.125</v>
      </c>
    </row>
    <row r="12" spans="1:4" x14ac:dyDescent="0.2">
      <c r="A12" s="5" t="s">
        <v>144</v>
      </c>
      <c r="B12">
        <v>8</v>
      </c>
      <c r="C12">
        <v>658.81812500000001</v>
      </c>
      <c r="D12">
        <v>658818.125</v>
      </c>
    </row>
    <row r="13" spans="1:4" x14ac:dyDescent="0.2">
      <c r="A13" s="5" t="s">
        <v>145</v>
      </c>
      <c r="B13">
        <v>8</v>
      </c>
      <c r="C13">
        <v>554.85450000000003</v>
      </c>
      <c r="D13">
        <v>554854.5</v>
      </c>
    </row>
    <row r="14" spans="1:4" x14ac:dyDescent="0.2">
      <c r="A14" s="3" t="s">
        <v>136</v>
      </c>
      <c r="B14">
        <v>32</v>
      </c>
      <c r="C14">
        <v>169.90106250000008</v>
      </c>
      <c r="D14">
        <v>169901.0625</v>
      </c>
    </row>
    <row r="15" spans="1:4" x14ac:dyDescent="0.2">
      <c r="A15" s="5" t="s">
        <v>139</v>
      </c>
      <c r="B15">
        <v>8</v>
      </c>
      <c r="C15">
        <v>114.04362499999999</v>
      </c>
      <c r="D15">
        <v>114043.625</v>
      </c>
    </row>
    <row r="16" spans="1:4" x14ac:dyDescent="0.2">
      <c r="A16" s="5" t="s">
        <v>143</v>
      </c>
      <c r="B16">
        <v>8</v>
      </c>
      <c r="C16">
        <v>97.80449999999999</v>
      </c>
      <c r="D16">
        <v>97804.5</v>
      </c>
    </row>
    <row r="17" spans="1:4" x14ac:dyDescent="0.2">
      <c r="A17" s="5" t="s">
        <v>144</v>
      </c>
      <c r="B17">
        <v>8</v>
      </c>
      <c r="C17">
        <v>214.82662500000001</v>
      </c>
      <c r="D17">
        <v>214826.625</v>
      </c>
    </row>
    <row r="18" spans="1:4" x14ac:dyDescent="0.2">
      <c r="A18" s="5" t="s">
        <v>145</v>
      </c>
      <c r="B18">
        <v>8</v>
      </c>
      <c r="C18">
        <v>252.92950000000005</v>
      </c>
      <c r="D18">
        <v>252929.5</v>
      </c>
    </row>
    <row r="19" spans="1:4" x14ac:dyDescent="0.2">
      <c r="A19" s="3" t="s">
        <v>146</v>
      </c>
      <c r="B19">
        <v>32</v>
      </c>
      <c r="C19">
        <v>169.47493749999992</v>
      </c>
      <c r="D19">
        <v>169474.9375</v>
      </c>
    </row>
    <row r="20" spans="1:4" x14ac:dyDescent="0.2">
      <c r="A20" s="5" t="s">
        <v>139</v>
      </c>
      <c r="B20">
        <v>8</v>
      </c>
      <c r="C20">
        <v>113.61749999999998</v>
      </c>
      <c r="D20">
        <v>113617.5</v>
      </c>
    </row>
    <row r="21" spans="1:4" x14ac:dyDescent="0.2">
      <c r="A21" s="5" t="s">
        <v>143</v>
      </c>
      <c r="B21">
        <v>8</v>
      </c>
      <c r="C21">
        <v>97.378625000000014</v>
      </c>
      <c r="D21">
        <v>97378.625</v>
      </c>
    </row>
    <row r="22" spans="1:4" x14ac:dyDescent="0.2">
      <c r="A22" s="5" t="s">
        <v>144</v>
      </c>
      <c r="B22">
        <v>8</v>
      </c>
      <c r="C22">
        <v>214.40050000000005</v>
      </c>
      <c r="D22">
        <v>214400.5</v>
      </c>
    </row>
    <row r="23" spans="1:4" x14ac:dyDescent="0.2">
      <c r="A23" s="5" t="s">
        <v>145</v>
      </c>
      <c r="B23">
        <v>8</v>
      </c>
      <c r="C23">
        <v>252.50312499999995</v>
      </c>
      <c r="D23">
        <v>252503.125</v>
      </c>
    </row>
    <row r="24" spans="1:4" x14ac:dyDescent="0.2">
      <c r="A24" s="3" t="s">
        <v>138</v>
      </c>
      <c r="B24">
        <v>128</v>
      </c>
      <c r="C24">
        <v>263.16268750000023</v>
      </c>
      <c r="D24">
        <v>263162.6875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537C2-26F1-2548-8848-62D69DEF155A}">
  <dimension ref="A2:D64"/>
  <sheetViews>
    <sheetView topLeftCell="A21" workbookViewId="0">
      <selection activeCell="A41" sqref="A41:B64"/>
    </sheetView>
  </sheetViews>
  <sheetFormatPr baseColWidth="10" defaultRowHeight="16" x14ac:dyDescent="0.2"/>
  <cols>
    <col min="1" max="1" width="13" bestFit="1" customWidth="1"/>
    <col min="2" max="2" width="13.6640625" bestFit="1" customWidth="1"/>
    <col min="3" max="3" width="12.5" bestFit="1" customWidth="1"/>
    <col min="4" max="4" width="16.83203125" bestFit="1" customWidth="1"/>
  </cols>
  <sheetData>
    <row r="2" spans="1:4" x14ac:dyDescent="0.2">
      <c r="A2" t="s">
        <v>241</v>
      </c>
    </row>
    <row r="3" spans="1:4" x14ac:dyDescent="0.2">
      <c r="A3" s="2" t="s">
        <v>133</v>
      </c>
      <c r="B3" t="s">
        <v>238</v>
      </c>
      <c r="C3" t="s">
        <v>239</v>
      </c>
      <c r="D3" t="s">
        <v>240</v>
      </c>
    </row>
    <row r="4" spans="1:4" x14ac:dyDescent="0.2">
      <c r="A4" s="3" t="s">
        <v>134</v>
      </c>
      <c r="B4">
        <v>292542.95</v>
      </c>
      <c r="C4">
        <v>292.54295000000002</v>
      </c>
      <c r="D4">
        <v>2.4408053166885448</v>
      </c>
    </row>
    <row r="5" spans="1:4" x14ac:dyDescent="0.2">
      <c r="A5" s="5" t="s">
        <v>139</v>
      </c>
      <c r="B5">
        <v>212791.8</v>
      </c>
      <c r="C5">
        <v>212.79180000000002</v>
      </c>
      <c r="D5">
        <v>2.3279548882680752</v>
      </c>
    </row>
    <row r="6" spans="1:4" x14ac:dyDescent="0.2">
      <c r="A6" s="5" t="s">
        <v>143</v>
      </c>
      <c r="B6">
        <v>182297</v>
      </c>
      <c r="C6">
        <v>182.29700000000003</v>
      </c>
      <c r="D6">
        <v>2.2607795216687139</v>
      </c>
    </row>
    <row r="7" spans="1:4" x14ac:dyDescent="0.2">
      <c r="A7" s="5" t="s">
        <v>144</v>
      </c>
      <c r="B7">
        <v>414772.6</v>
      </c>
      <c r="C7">
        <v>414.77259999999995</v>
      </c>
      <c r="D7">
        <v>2.6178100590389795</v>
      </c>
    </row>
    <row r="8" spans="1:4" x14ac:dyDescent="0.2">
      <c r="A8" s="5" t="s">
        <v>145</v>
      </c>
      <c r="B8">
        <v>360310.4</v>
      </c>
      <c r="C8">
        <v>360.31039999999996</v>
      </c>
      <c r="D8">
        <v>2.5566767977784108</v>
      </c>
    </row>
    <row r="9" spans="1:4" x14ac:dyDescent="0.2">
      <c r="A9" s="3" t="s">
        <v>135</v>
      </c>
      <c r="B9">
        <v>417715.05</v>
      </c>
      <c r="C9">
        <v>417.71504999999996</v>
      </c>
      <c r="D9">
        <v>2.5697120270179417</v>
      </c>
    </row>
    <row r="10" spans="1:4" x14ac:dyDescent="0.2">
      <c r="A10" s="5" t="s">
        <v>139</v>
      </c>
      <c r="B10">
        <v>259844.4</v>
      </c>
      <c r="C10">
        <v>259.84440000000001</v>
      </c>
      <c r="D10">
        <v>2.4147133615827046</v>
      </c>
    </row>
    <row r="11" spans="1:4" x14ac:dyDescent="0.2">
      <c r="A11" s="5" t="s">
        <v>143</v>
      </c>
      <c r="B11">
        <v>201531.8</v>
      </c>
      <c r="C11">
        <v>201.5318</v>
      </c>
      <c r="D11">
        <v>2.3043435838246671</v>
      </c>
    </row>
    <row r="12" spans="1:4" x14ac:dyDescent="0.2">
      <c r="A12" s="5" t="s">
        <v>144</v>
      </c>
      <c r="B12">
        <v>657745.6</v>
      </c>
      <c r="C12">
        <v>657.74559999999997</v>
      </c>
      <c r="D12">
        <v>2.8180579515440511</v>
      </c>
    </row>
    <row r="13" spans="1:4" x14ac:dyDescent="0.2">
      <c r="A13" s="5" t="s">
        <v>145</v>
      </c>
      <c r="B13">
        <v>551738.4</v>
      </c>
      <c r="C13">
        <v>551.73839999999996</v>
      </c>
      <c r="D13">
        <v>2.7417332111203452</v>
      </c>
    </row>
    <row r="14" spans="1:4" x14ac:dyDescent="0.2">
      <c r="A14" s="3" t="s">
        <v>136</v>
      </c>
      <c r="B14">
        <v>169379.95</v>
      </c>
      <c r="C14">
        <v>169.37994999999998</v>
      </c>
      <c r="D14">
        <v>2.1941702565231092</v>
      </c>
    </row>
    <row r="15" spans="1:4" x14ac:dyDescent="0.2">
      <c r="A15" s="5" t="s">
        <v>139</v>
      </c>
      <c r="B15">
        <v>113234.2</v>
      </c>
      <c r="C15">
        <v>113.23419999999999</v>
      </c>
      <c r="D15">
        <v>2.0539776161433334</v>
      </c>
    </row>
    <row r="16" spans="1:4" x14ac:dyDescent="0.2">
      <c r="A16" s="5" t="s">
        <v>143</v>
      </c>
      <c r="B16">
        <v>97635.6</v>
      </c>
      <c r="C16">
        <v>97.635599999999997</v>
      </c>
      <c r="D16">
        <v>1.9896081994699433</v>
      </c>
    </row>
    <row r="17" spans="1:4" x14ac:dyDescent="0.2">
      <c r="A17" s="5" t="s">
        <v>144</v>
      </c>
      <c r="B17">
        <v>214529.6</v>
      </c>
      <c r="C17">
        <v>214.52959999999999</v>
      </c>
      <c r="D17">
        <v>2.3314872229987378</v>
      </c>
    </row>
    <row r="18" spans="1:4" x14ac:dyDescent="0.2">
      <c r="A18" s="5" t="s">
        <v>145</v>
      </c>
      <c r="B18">
        <v>252120.4</v>
      </c>
      <c r="C18">
        <v>252.12039999999996</v>
      </c>
      <c r="D18">
        <v>2.4016079874804226</v>
      </c>
    </row>
    <row r="19" spans="1:4" x14ac:dyDescent="0.2">
      <c r="A19" s="3" t="s">
        <v>146</v>
      </c>
      <c r="B19">
        <v>168953.60000000001</v>
      </c>
      <c r="C19">
        <v>168.95360000000002</v>
      </c>
      <c r="D19">
        <v>2.19288568532152</v>
      </c>
    </row>
    <row r="20" spans="1:4" x14ac:dyDescent="0.2">
      <c r="A20" s="5" t="s">
        <v>139</v>
      </c>
      <c r="B20">
        <v>112808</v>
      </c>
      <c r="C20">
        <v>112.80800000000002</v>
      </c>
      <c r="D20">
        <v>2.0523398995822255</v>
      </c>
    </row>
    <row r="21" spans="1:4" x14ac:dyDescent="0.2">
      <c r="A21" s="5" t="s">
        <v>143</v>
      </c>
      <c r="B21">
        <v>97209</v>
      </c>
      <c r="C21">
        <v>97.209000000000003</v>
      </c>
      <c r="D21">
        <v>1.98770647551673</v>
      </c>
    </row>
    <row r="22" spans="1:4" x14ac:dyDescent="0.2">
      <c r="A22" s="5" t="s">
        <v>144</v>
      </c>
      <c r="B22">
        <v>214103.2</v>
      </c>
      <c r="C22">
        <v>214.10320000000002</v>
      </c>
      <c r="D22">
        <v>2.3306231583350465</v>
      </c>
    </row>
    <row r="23" spans="1:4" x14ac:dyDescent="0.2">
      <c r="A23" s="5" t="s">
        <v>145</v>
      </c>
      <c r="B23">
        <v>251694.2</v>
      </c>
      <c r="C23">
        <v>251.6942</v>
      </c>
      <c r="D23">
        <v>2.4008732078520754</v>
      </c>
    </row>
    <row r="24" spans="1:4" x14ac:dyDescent="0.2">
      <c r="A24" s="3" t="s">
        <v>137</v>
      </c>
    </row>
    <row r="25" spans="1:4" x14ac:dyDescent="0.2">
      <c r="A25" s="5" t="s">
        <v>137</v>
      </c>
    </row>
    <row r="26" spans="1:4" x14ac:dyDescent="0.2">
      <c r="A26" s="3" t="s">
        <v>138</v>
      </c>
      <c r="B26">
        <v>262147.88750000001</v>
      </c>
      <c r="C26">
        <v>262.14788749999991</v>
      </c>
      <c r="D26">
        <v>2.3493933213877778</v>
      </c>
    </row>
    <row r="41" spans="1:2" x14ac:dyDescent="0.2">
      <c r="A41" t="s">
        <v>241</v>
      </c>
      <c r="B41" t="s">
        <v>237</v>
      </c>
    </row>
    <row r="42" spans="1:2" x14ac:dyDescent="0.2">
      <c r="A42" t="s">
        <v>134</v>
      </c>
      <c r="B42">
        <v>20</v>
      </c>
    </row>
    <row r="43" spans="1:2" x14ac:dyDescent="0.2">
      <c r="A43" t="s">
        <v>139</v>
      </c>
      <c r="B43">
        <v>5</v>
      </c>
    </row>
    <row r="44" spans="1:2" x14ac:dyDescent="0.2">
      <c r="A44" t="s">
        <v>143</v>
      </c>
      <c r="B44">
        <v>5</v>
      </c>
    </row>
    <row r="45" spans="1:2" x14ac:dyDescent="0.2">
      <c r="A45" t="s">
        <v>144</v>
      </c>
      <c r="B45">
        <v>5</v>
      </c>
    </row>
    <row r="46" spans="1:2" x14ac:dyDescent="0.2">
      <c r="A46" t="s">
        <v>145</v>
      </c>
      <c r="B46">
        <v>5</v>
      </c>
    </row>
    <row r="47" spans="1:2" x14ac:dyDescent="0.2">
      <c r="A47" t="s">
        <v>135</v>
      </c>
      <c r="B47">
        <v>20</v>
      </c>
    </row>
    <row r="48" spans="1:2" x14ac:dyDescent="0.2">
      <c r="A48" t="s">
        <v>139</v>
      </c>
      <c r="B48">
        <v>5</v>
      </c>
    </row>
    <row r="49" spans="1:2" x14ac:dyDescent="0.2">
      <c r="A49" t="s">
        <v>143</v>
      </c>
      <c r="B49">
        <v>5</v>
      </c>
    </row>
    <row r="50" spans="1:2" x14ac:dyDescent="0.2">
      <c r="A50" t="s">
        <v>144</v>
      </c>
      <c r="B50">
        <v>5</v>
      </c>
    </row>
    <row r="51" spans="1:2" x14ac:dyDescent="0.2">
      <c r="A51" t="s">
        <v>145</v>
      </c>
      <c r="B51">
        <v>5</v>
      </c>
    </row>
    <row r="52" spans="1:2" x14ac:dyDescent="0.2">
      <c r="A52" t="s">
        <v>136</v>
      </c>
      <c r="B52">
        <v>20</v>
      </c>
    </row>
    <row r="53" spans="1:2" x14ac:dyDescent="0.2">
      <c r="A53" t="s">
        <v>139</v>
      </c>
      <c r="B53">
        <v>5</v>
      </c>
    </row>
    <row r="54" spans="1:2" x14ac:dyDescent="0.2">
      <c r="A54" t="s">
        <v>143</v>
      </c>
      <c r="B54">
        <v>5</v>
      </c>
    </row>
    <row r="55" spans="1:2" x14ac:dyDescent="0.2">
      <c r="A55" t="s">
        <v>144</v>
      </c>
      <c r="B55">
        <v>5</v>
      </c>
    </row>
    <row r="56" spans="1:2" x14ac:dyDescent="0.2">
      <c r="A56" t="s">
        <v>145</v>
      </c>
      <c r="B56">
        <v>5</v>
      </c>
    </row>
    <row r="57" spans="1:2" x14ac:dyDescent="0.2">
      <c r="A57" t="s">
        <v>146</v>
      </c>
      <c r="B57">
        <v>20</v>
      </c>
    </row>
    <row r="58" spans="1:2" x14ac:dyDescent="0.2">
      <c r="A58" t="s">
        <v>139</v>
      </c>
      <c r="B58">
        <v>5</v>
      </c>
    </row>
    <row r="59" spans="1:2" x14ac:dyDescent="0.2">
      <c r="A59" t="s">
        <v>143</v>
      </c>
      <c r="B59">
        <v>5</v>
      </c>
    </row>
    <row r="60" spans="1:2" x14ac:dyDescent="0.2">
      <c r="A60" t="s">
        <v>144</v>
      </c>
      <c r="B60">
        <v>5</v>
      </c>
    </row>
    <row r="61" spans="1:2" x14ac:dyDescent="0.2">
      <c r="A61" t="s">
        <v>145</v>
      </c>
      <c r="B61">
        <v>5</v>
      </c>
    </row>
    <row r="62" spans="1:2" x14ac:dyDescent="0.2">
      <c r="A62" t="s">
        <v>137</v>
      </c>
    </row>
    <row r="63" spans="1:2" x14ac:dyDescent="0.2">
      <c r="A63" t="s">
        <v>137</v>
      </c>
    </row>
    <row r="64" spans="1:2" x14ac:dyDescent="0.2">
      <c r="A64" t="s">
        <v>138</v>
      </c>
      <c r="B64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SIT_MODELS</vt:lpstr>
      <vt:lpstr>IEEE Models</vt:lpstr>
      <vt:lpstr>SIT_1</vt:lpstr>
      <vt:lpstr>ANALYSIS_size</vt:lpstr>
      <vt:lpstr>LatexTables</vt:lpstr>
      <vt:lpstr>Sheet5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Siraskar</dc:creator>
  <cp:lastModifiedBy>Rajesh Siraskar</cp:lastModifiedBy>
  <dcterms:created xsi:type="dcterms:W3CDTF">2026-04-18T07:55:03Z</dcterms:created>
  <dcterms:modified xsi:type="dcterms:W3CDTF">2026-04-18T22:17:33Z</dcterms:modified>
</cp:coreProperties>
</file>